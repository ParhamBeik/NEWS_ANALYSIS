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parham/Downloads/"/>
    </mc:Choice>
  </mc:AlternateContent>
  <xr:revisionPtr revIDLastSave="0" documentId="13_ncr:1_{7F217862-E42A-4D4D-8B6A-48936BF73EF8}" xr6:coauthVersionLast="47" xr6:coauthVersionMax="47" xr10:uidLastSave="{00000000-0000-0000-0000-000000000000}"/>
  <bookViews>
    <workbookView xWindow="0" yWindow="600" windowWidth="33600" windowHeight="18760" xr2:uid="{00000000-000D-0000-FFFF-FFFF00000000}"/>
  </bookViews>
  <sheets>
    <sheet name="بررسی خبر" sheetId="1" r:id="rId1"/>
    <sheet name="تحلیل اثر" sheetId="2" state="hidden" r:id="rId2"/>
    <sheet name="کلید واژه ها" sheetId="4" r:id="rId3"/>
    <sheet name="منابع" sheetId="6" r:id="rId4"/>
  </sheets>
  <definedNames>
    <definedName name="_xlnm._FilterDatabase" localSheetId="0" hidden="1">'بررسی خبر'!$A$2:$H$2</definedName>
    <definedName name="_xlnm._FilterDatabase" localSheetId="1" hidden="1">'تحلیل اثر'!$A$1:$I$1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s="1"/>
  <c r="J94" i="1" a="1"/>
  <c r="J94" i="1" s="1"/>
  <c r="J95" i="1" a="1"/>
  <c r="J95" i="1" s="1"/>
  <c r="J96" i="1" a="1"/>
  <c r="J96" i="1" s="1"/>
  <c r="J97" i="1" a="1"/>
  <c r="J97" i="1" s="1"/>
  <c r="J98" i="1" a="1"/>
  <c r="J98" i="1" s="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s="1"/>
  <c r="J110" i="1" a="1"/>
  <c r="J110" i="1" s="1"/>
  <c r="J111" i="1" a="1"/>
  <c r="J111" i="1" s="1"/>
  <c r="J112" i="1" a="1"/>
  <c r="J112" i="1" s="1"/>
  <c r="J113" i="1" a="1"/>
  <c r="J113" i="1" s="1"/>
  <c r="J114" i="1" a="1"/>
  <c r="J114" i="1" s="1"/>
  <c r="J115" i="1" a="1"/>
  <c r="J115" i="1" s="1"/>
  <c r="J116" i="1" a="1"/>
  <c r="J116" i="1" s="1"/>
  <c r="J117" i="1" a="1"/>
  <c r="J117" i="1" s="1"/>
  <c r="J118" i="1" a="1"/>
  <c r="J118" i="1" s="1"/>
  <c r="J119" i="1" a="1"/>
  <c r="J119" i="1" s="1"/>
  <c r="J120" i="1" a="1"/>
  <c r="J120" i="1" s="1"/>
  <c r="J121" i="1" a="1"/>
  <c r="J121" i="1" s="1"/>
  <c r="J122" i="1" a="1"/>
  <c r="J122" i="1" s="1"/>
  <c r="J123" i="1" a="1"/>
  <c r="J123" i="1" s="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157" i="1" a="1"/>
  <c r="J157" i="1" s="1"/>
  <c r="J158" i="1" a="1"/>
  <c r="J158" i="1" s="1"/>
  <c r="J159" i="1" a="1"/>
  <c r="J159" i="1" s="1"/>
  <c r="J160" i="1" a="1"/>
  <c r="J160" i="1" s="1"/>
  <c r="J161" i="1" a="1"/>
  <c r="J161" i="1" s="1"/>
  <c r="J162" i="1" a="1"/>
  <c r="J162" i="1" s="1"/>
  <c r="J163" i="1" a="1"/>
  <c r="J163" i="1" s="1"/>
  <c r="J164" i="1" a="1"/>
  <c r="J164" i="1" s="1"/>
  <c r="J165" i="1" a="1"/>
  <c r="J165" i="1" s="1"/>
  <c r="J166" i="1" a="1"/>
  <c r="J166" i="1" s="1"/>
  <c r="J167" i="1" a="1"/>
  <c r="J167" i="1" s="1"/>
  <c r="J168" i="1" a="1"/>
  <c r="J168" i="1" s="1"/>
  <c r="J169" i="1" a="1"/>
  <c r="J169" i="1" s="1"/>
  <c r="J170" i="1" a="1"/>
  <c r="J170" i="1" s="1"/>
  <c r="J171" i="1" a="1"/>
  <c r="J171" i="1" s="1"/>
  <c r="J172" i="1" a="1"/>
  <c r="J172" i="1" s="1"/>
  <c r="J173" i="1" a="1"/>
  <c r="J173" i="1" s="1"/>
  <c r="J174" i="1" a="1"/>
  <c r="J174" i="1" s="1"/>
  <c r="J175" i="1" a="1"/>
  <c r="J175" i="1" s="1"/>
  <c r="J176" i="1" a="1"/>
  <c r="J176" i="1" s="1"/>
  <c r="J177" i="1" a="1"/>
  <c r="J177" i="1" s="1"/>
  <c r="J178" i="1" a="1"/>
  <c r="J178" i="1" s="1"/>
  <c r="J179" i="1" a="1"/>
  <c r="J179" i="1" s="1"/>
  <c r="J180" i="1" a="1"/>
  <c r="J180" i="1" s="1"/>
  <c r="J181" i="1" a="1"/>
  <c r="J181" i="1" s="1"/>
  <c r="J182" i="1" a="1"/>
  <c r="J182" i="1" s="1"/>
  <c r="J183" i="1" a="1"/>
  <c r="J183" i="1" s="1"/>
  <c r="J184" i="1" a="1"/>
  <c r="J184" i="1" s="1"/>
  <c r="J185" i="1" a="1"/>
  <c r="J185" i="1" s="1"/>
  <c r="J186" i="1" a="1"/>
  <c r="J186" i="1" s="1"/>
  <c r="J187" i="1" a="1"/>
  <c r="J187" i="1" s="1"/>
  <c r="J188" i="1" a="1"/>
  <c r="J188" i="1" s="1"/>
  <c r="J189" i="1" a="1"/>
  <c r="J189" i="1" s="1"/>
  <c r="J190" i="1" a="1"/>
  <c r="J190" i="1" s="1"/>
  <c r="J191" i="1" a="1"/>
  <c r="J191" i="1" s="1"/>
  <c r="J192" i="1" a="1"/>
  <c r="J192" i="1" s="1"/>
  <c r="J193" i="1" a="1"/>
  <c r="J193" i="1" s="1"/>
  <c r="J194" i="1" a="1"/>
  <c r="J194" i="1" s="1"/>
  <c r="J195" i="1" a="1"/>
  <c r="J195" i="1" s="1"/>
  <c r="J196" i="1" a="1"/>
  <c r="J196" i="1" s="1"/>
  <c r="J197" i="1" a="1"/>
  <c r="J197" i="1" s="1"/>
  <c r="J198" i="1" a="1"/>
  <c r="J198" i="1" s="1"/>
  <c r="J199" i="1" a="1"/>
  <c r="J199" i="1" s="1"/>
  <c r="J200" i="1" a="1"/>
  <c r="J200" i="1" s="1"/>
  <c r="J201" i="1" a="1"/>
  <c r="J201" i="1" s="1"/>
  <c r="J202" i="1" a="1"/>
  <c r="J202" i="1" s="1"/>
  <c r="J203" i="1" a="1"/>
  <c r="J203" i="1" s="1"/>
  <c r="J204" i="1" a="1"/>
  <c r="J204" i="1" s="1"/>
  <c r="J205" i="1" a="1"/>
  <c r="J205" i="1" s="1"/>
  <c r="J206" i="1" a="1"/>
  <c r="J206" i="1" s="1"/>
  <c r="J207" i="1" a="1"/>
  <c r="J207" i="1" s="1"/>
  <c r="J208" i="1" a="1"/>
  <c r="J208" i="1" s="1"/>
  <c r="J209" i="1" a="1"/>
  <c r="J209" i="1" s="1"/>
  <c r="J210" i="1" a="1"/>
  <c r="J210" i="1" s="1"/>
  <c r="J211" i="1" a="1"/>
  <c r="J211" i="1" s="1"/>
  <c r="J212" i="1" a="1"/>
  <c r="J212" i="1" s="1"/>
  <c r="J213" i="1" a="1"/>
  <c r="J213" i="1" s="1"/>
  <c r="J214" i="1" a="1"/>
  <c r="J214" i="1" s="1"/>
  <c r="J215" i="1" a="1"/>
  <c r="J215" i="1" s="1"/>
  <c r="J216" i="1" a="1"/>
  <c r="J216" i="1" s="1"/>
  <c r="J217" i="1" a="1"/>
  <c r="J217" i="1" s="1"/>
  <c r="J218" i="1" a="1"/>
  <c r="J218" i="1" s="1"/>
  <c r="J219" i="1" a="1"/>
  <c r="J219" i="1" s="1"/>
  <c r="J220" i="1" a="1"/>
  <c r="J220" i="1" s="1"/>
  <c r="J221" i="1" a="1"/>
  <c r="J221" i="1" s="1"/>
  <c r="J222" i="1" a="1"/>
  <c r="J222" i="1" s="1"/>
  <c r="J223" i="1" a="1"/>
  <c r="J223" i="1" s="1"/>
  <c r="J224" i="1" a="1"/>
  <c r="J224" i="1" s="1"/>
  <c r="J225" i="1" a="1"/>
  <c r="J225" i="1" s="1"/>
  <c r="J226" i="1" a="1"/>
  <c r="J226" i="1" s="1"/>
  <c r="J227" i="1" a="1"/>
  <c r="J227" i="1" s="1"/>
  <c r="J228" i="1" a="1"/>
  <c r="J228" i="1" s="1"/>
  <c r="J229" i="1" a="1"/>
  <c r="J229" i="1" s="1"/>
  <c r="J230" i="1" a="1"/>
  <c r="J230" i="1" s="1"/>
  <c r="J231" i="1" a="1"/>
  <c r="J231" i="1" s="1"/>
  <c r="J232" i="1" a="1"/>
  <c r="J232" i="1" s="1"/>
  <c r="J233" i="1" a="1"/>
  <c r="J233" i="1" s="1"/>
  <c r="J234" i="1" a="1"/>
  <c r="J234" i="1" s="1"/>
  <c r="J235" i="1" a="1"/>
  <c r="J235" i="1" s="1"/>
  <c r="J236" i="1" a="1"/>
  <c r="J236" i="1" s="1"/>
  <c r="J237" i="1" a="1"/>
  <c r="J237" i="1" s="1"/>
  <c r="J238" i="1" a="1"/>
  <c r="J238" i="1" s="1"/>
  <c r="J239" i="1" a="1"/>
  <c r="J239" i="1" s="1"/>
  <c r="J240" i="1" a="1"/>
  <c r="J240" i="1" s="1"/>
  <c r="J241" i="1" a="1"/>
  <c r="J241" i="1" s="1"/>
  <c r="J242" i="1" a="1"/>
  <c r="J242" i="1" s="1"/>
  <c r="J243" i="1" a="1"/>
  <c r="J243" i="1" s="1"/>
  <c r="J244" i="1" a="1"/>
  <c r="J244" i="1" s="1"/>
  <c r="J245" i="1" a="1"/>
  <c r="J245" i="1" s="1"/>
  <c r="J246" i="1" a="1"/>
  <c r="J246" i="1" s="1"/>
  <c r="J247" i="1" a="1"/>
  <c r="J247" i="1" s="1"/>
  <c r="J248" i="1" a="1"/>
  <c r="J248" i="1" s="1"/>
  <c r="J249" i="1" a="1"/>
  <c r="J249" i="1" s="1"/>
  <c r="J250" i="1" a="1"/>
  <c r="J250" i="1" s="1"/>
  <c r="J251" i="1" a="1"/>
  <c r="J251" i="1" s="1"/>
  <c r="J252" i="1" a="1"/>
  <c r="J252" i="1" s="1"/>
  <c r="J253" i="1" a="1"/>
  <c r="J253" i="1" s="1"/>
  <c r="J254" i="1" a="1"/>
  <c r="J254" i="1" s="1"/>
  <c r="J255" i="1" a="1"/>
  <c r="J255" i="1" s="1"/>
  <c r="J256" i="1" a="1"/>
  <c r="J256" i="1" s="1"/>
  <c r="J257" i="1" a="1"/>
  <c r="J257" i="1" s="1"/>
  <c r="J258" i="1" a="1"/>
  <c r="J258" i="1" s="1"/>
  <c r="J259" i="1" a="1"/>
  <c r="J259" i="1" s="1"/>
  <c r="J260" i="1" a="1"/>
  <c r="J260" i="1" s="1"/>
  <c r="J261" i="1" a="1"/>
  <c r="J261" i="1" s="1"/>
  <c r="J262" i="1" a="1"/>
  <c r="J262" i="1" s="1"/>
  <c r="J263" i="1" a="1"/>
  <c r="J263" i="1" s="1"/>
  <c r="J264" i="1" a="1"/>
  <c r="J264" i="1" s="1"/>
  <c r="J265" i="1" a="1"/>
  <c r="J265" i="1" s="1"/>
  <c r="J266" i="1" a="1"/>
  <c r="J266" i="1" s="1"/>
  <c r="J267" i="1" a="1"/>
  <c r="J267" i="1" s="1"/>
  <c r="J268" i="1" a="1"/>
  <c r="J268" i="1" s="1"/>
  <c r="J269" i="1" a="1"/>
  <c r="J269" i="1" s="1"/>
  <c r="J270" i="1" a="1"/>
  <c r="J270" i="1" s="1"/>
  <c r="J271" i="1" a="1"/>
  <c r="J271" i="1" s="1"/>
  <c r="J272" i="1" a="1"/>
  <c r="J272" i="1" s="1"/>
  <c r="J273" i="1" a="1"/>
  <c r="J273" i="1" s="1"/>
  <c r="J274" i="1" a="1"/>
  <c r="J274" i="1" s="1"/>
  <c r="J275" i="1" a="1"/>
  <c r="J275" i="1" s="1"/>
  <c r="J276" i="1" a="1"/>
  <c r="J276" i="1" s="1"/>
  <c r="J277" i="1" a="1"/>
  <c r="J277" i="1" s="1"/>
  <c r="J278" i="1" a="1"/>
  <c r="J278" i="1" s="1"/>
  <c r="J279" i="1" a="1"/>
  <c r="J279" i="1" s="1"/>
  <c r="J280" i="1" a="1"/>
  <c r="J280" i="1" s="1"/>
  <c r="J281" i="1" a="1"/>
  <c r="J281" i="1" s="1"/>
  <c r="J282" i="1" a="1"/>
  <c r="J282" i="1" s="1"/>
  <c r="J283" i="1" a="1"/>
  <c r="J283" i="1" s="1"/>
  <c r="J284" i="1" a="1"/>
  <c r="J284" i="1" s="1"/>
  <c r="J285" i="1" a="1"/>
  <c r="J285" i="1" s="1"/>
  <c r="J286" i="1" a="1"/>
  <c r="J286" i="1" s="1"/>
  <c r="J287" i="1" a="1"/>
  <c r="J287" i="1" s="1"/>
  <c r="J288" i="1" a="1"/>
  <c r="J288" i="1" s="1"/>
  <c r="J289" i="1" a="1"/>
  <c r="J289" i="1" s="1"/>
  <c r="J290" i="1" a="1"/>
  <c r="J290" i="1" s="1"/>
  <c r="J291" i="1" a="1"/>
  <c r="J291" i="1" s="1"/>
  <c r="J292" i="1" a="1"/>
  <c r="J292" i="1" s="1"/>
  <c r="J293" i="1" a="1"/>
  <c r="J293" i="1" s="1"/>
  <c r="J294" i="1" a="1"/>
  <c r="J294" i="1" s="1"/>
  <c r="J295" i="1" a="1"/>
  <c r="J295" i="1" s="1"/>
  <c r="J296" i="1" a="1"/>
  <c r="J296" i="1" s="1"/>
  <c r="J297" i="1" a="1"/>
  <c r="J297" i="1" s="1"/>
  <c r="J298" i="1" a="1"/>
  <c r="J298" i="1" s="1"/>
  <c r="J299" i="1" a="1"/>
  <c r="J299" i="1" s="1"/>
  <c r="J300" i="1" a="1"/>
  <c r="J300" i="1" s="1"/>
  <c r="J301" i="1" a="1"/>
  <c r="J301" i="1" s="1"/>
  <c r="J302" i="1" a="1"/>
  <c r="J302" i="1" s="1"/>
  <c r="J303" i="1" a="1"/>
  <c r="J303" i="1" s="1"/>
  <c r="H55" i="6" l="1"/>
  <c r="F55" i="6"/>
  <c r="H54" i="6"/>
  <c r="E55" i="6"/>
  <c r="G56" i="6"/>
  <c r="F57" i="6"/>
  <c r="H57" i="6"/>
  <c r="F53" i="6"/>
  <c r="H53" i="6"/>
  <c r="E49" i="6"/>
  <c r="E56" i="6" s="1"/>
  <c r="D47" i="6"/>
  <c r="D54" i="6" s="1"/>
  <c r="H47" i="6"/>
  <c r="H48" i="6"/>
  <c r="H49" i="6"/>
  <c r="H56" i="6" s="1"/>
  <c r="H50" i="6"/>
  <c r="H46" i="6"/>
  <c r="G47" i="6"/>
  <c r="G54" i="6" s="1"/>
  <c r="G48" i="6"/>
  <c r="G55" i="6" s="1"/>
  <c r="G49" i="6"/>
  <c r="G50" i="6"/>
  <c r="G57" i="6" s="1"/>
  <c r="G46" i="6"/>
  <c r="G53" i="6" s="1"/>
  <c r="F47" i="6"/>
  <c r="F54" i="6" s="1"/>
  <c r="F48" i="6"/>
  <c r="F49" i="6"/>
  <c r="F56" i="6" s="1"/>
  <c r="F50" i="6"/>
  <c r="F46" i="6"/>
  <c r="E47" i="6"/>
  <c r="E54" i="6" s="1"/>
  <c r="E48" i="6"/>
  <c r="E50" i="6"/>
  <c r="E57" i="6" s="1"/>
  <c r="E46" i="6"/>
  <c r="E53" i="6" s="1"/>
  <c r="D48" i="6"/>
  <c r="D55" i="6" s="1"/>
  <c r="D49" i="6"/>
  <c r="D56" i="6" s="1"/>
  <c r="D50" i="6"/>
  <c r="D57" i="6" s="1"/>
  <c r="D46" i="6"/>
  <c r="D53" i="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<sst xmlns="http://schemas.openxmlformats.org/spreadsheetml/2006/main" count="1487" uniqueCount="446">
  <si>
    <t>شناسه خبر</t>
  </si>
  <si>
    <t>تاریخ</t>
  </si>
  <si>
    <t>تیتر خبر</t>
  </si>
  <si>
    <t>یادداشت</t>
  </si>
  <si>
    <t>تیتر خلاصه</t>
  </si>
  <si>
    <t>نوع اثر (اقتصادی / امنیتی / سیاسی / روانی بازار)</t>
  </si>
  <si>
    <t>جهت اثر بر دلار</t>
  </si>
  <si>
    <t>جهت اثر بر طلا</t>
  </si>
  <si>
    <t>جهت اثر بر نفت</t>
  </si>
  <si>
    <t>توضیح</t>
  </si>
  <si>
    <t>منبع</t>
  </si>
  <si>
    <t>دسته</t>
  </si>
  <si>
    <t>کلیدواژه‌ها</t>
  </si>
  <si>
    <t>شاخص‌های مالی و اقتصادی</t>
  </si>
  <si>
    <t>امنیت و ژئوپولیتیک</t>
  </si>
  <si>
    <t>جنگ، صلح، حمله، تهدید، درگیری، انفجار، بمب، موشک، پهپاد، رزمایش، توقیف نفتکش، ناو، تنگه هرمز، حمله سایبری، ترور، آشوب، ناآرامی، امنیت مرز، آتش‌بس، میانجی‌گری، تحریم تسلیحاتی</t>
  </si>
  <si>
    <t>سطح اطمینان (۱ تا 10)</t>
  </si>
  <si>
    <t>لینک</t>
  </si>
  <si>
    <t>جامعیت/ویژگی</t>
  </si>
  <si>
    <t>سوگیری</t>
  </si>
  <si>
    <t>زبان</t>
  </si>
  <si>
    <t>خبرفوری</t>
  </si>
  <si>
    <t>https://t.me/akhbarefori</t>
  </si>
  <si>
    <t>جامع/پرمخاطب/پر ویو / ری‌اکشن دار</t>
  </si>
  <si>
    <t>موافق+</t>
  </si>
  <si>
    <t>فارسی</t>
  </si>
  <si>
    <t>خبر فوری جنگ</t>
  </si>
  <si>
    <t>https://t.me/FO_RK</t>
  </si>
  <si>
    <t>جامع/ پرمخاطب ترین</t>
  </si>
  <si>
    <t>بیطرف</t>
  </si>
  <si>
    <t>ایسنا</t>
  </si>
  <si>
    <t>https://t.me/isna94</t>
  </si>
  <si>
    <t>جامع / رسمی</t>
  </si>
  <si>
    <t>موافق</t>
  </si>
  <si>
    <t>فارس</t>
  </si>
  <si>
    <t>https://t.me/farsna</t>
  </si>
  <si>
    <t>موافق++</t>
  </si>
  <si>
    <t>اقتصاد آنلاین</t>
  </si>
  <si>
    <t>https://t.me/eghtesadonline</t>
  </si>
  <si>
    <t>اقتصادی</t>
  </si>
  <si>
    <t>اکو ایران</t>
  </si>
  <si>
    <t>https://t.me/ecoiran_webtv</t>
  </si>
  <si>
    <t>واچر گرو</t>
  </si>
  <si>
    <t>https://t.me/WatcherGuru</t>
  </si>
  <si>
    <t>رمز ارز/ اقتصادی</t>
  </si>
  <si>
    <t>انگلیسی</t>
  </si>
  <si>
    <t>صبح صادق</t>
  </si>
  <si>
    <t>https://t.me/Sobhesadeg_ir</t>
  </si>
  <si>
    <t>نظامی سیاسی</t>
  </si>
  <si>
    <t>اخبار جهادی</t>
  </si>
  <si>
    <t>https://t.me/akhbarjahadi</t>
  </si>
  <si>
    <t>BBC فارسی</t>
  </si>
  <si>
    <t>https://t.me/bbcpersian</t>
  </si>
  <si>
    <t>جامع</t>
  </si>
  <si>
    <t>مخالف</t>
  </si>
  <si>
    <t>قناه الجزیره</t>
  </si>
  <si>
    <t>https://t.me/AjaNews</t>
  </si>
  <si>
    <t>بین المللی/ جامع</t>
  </si>
  <si>
    <t>عربی</t>
  </si>
  <si>
    <t>المیادین</t>
  </si>
  <si>
    <t>https://t.me/almayadeen</t>
  </si>
  <si>
    <t>MES</t>
  </si>
  <si>
    <t>https://t.me/Middle_East_Spectator</t>
  </si>
  <si>
    <t>خاور میانه</t>
  </si>
  <si>
    <t>ساعت انتشار</t>
  </si>
  <si>
    <t>تاریخ انتشار</t>
  </si>
  <si>
    <t>توضیحات</t>
  </si>
  <si>
    <t>https://x.com/realDonaldTrump</t>
  </si>
  <si>
    <t>realDonaldTrump</t>
  </si>
  <si>
    <t>netanyahu</t>
  </si>
  <si>
    <t>https://x.com/netanyahu</t>
  </si>
  <si>
    <t>WhiteHouse</t>
  </si>
  <si>
    <t>https://x.com/WhiteHouse</t>
  </si>
  <si>
    <t>CnnPersiann</t>
  </si>
  <si>
    <t>https://x.com/CnnPersiann</t>
  </si>
  <si>
    <t>https://www.aljazeera.com/</t>
  </si>
  <si>
    <t>aljazeera</t>
  </si>
  <si>
    <t>https://t.me/MiddleEastEye_TG</t>
  </si>
  <si>
    <t>MiddleEastEye</t>
  </si>
  <si>
    <t>@caronline</t>
  </si>
  <si>
    <t>caronline</t>
  </si>
  <si>
    <t>https://t.me/twitter_bourse</t>
  </si>
  <si>
    <t>توییتر بورس</t>
  </si>
  <si>
    <t>عبری</t>
  </si>
  <si>
    <t>دلار، طلا، نفت، نرخ ارز، نرخ بهره، بانک مرکزی، تورم، سکه، ریال، حقوق پایه، مالیات، بودجه، صادرات، واردات، یارانه، قیمت‌گذاری، ذخایر ارزی، بازار آزاد، تورم ، نرخ رسمی، نقدینگی ، پیش‌فروش، مجوز واردات، افزایش قیمت کالاهای اساسی، کاهش مالیات، کالابرگ، تحریم، عوارض، تعرفه، بورس کالا، کنترل بانکی، تسهیلات، رمز ارز</t>
  </si>
  <si>
    <t>اخبار مربوط به وضعیت امنیت</t>
  </si>
  <si>
    <t>↓</t>
  </si>
  <si>
    <t>نامطمئن</t>
  </si>
  <si>
    <t>خنثی</t>
  </si>
  <si>
    <t>گذشته مطمئن</t>
  </si>
  <si>
    <t>گذشته نامطمئن</t>
  </si>
  <si>
    <t>آینده مطمئن</t>
  </si>
  <si>
    <t>آینده نامطمئن</t>
  </si>
  <si>
    <t xml:space="preserve">خیلی کم </t>
  </si>
  <si>
    <t>کم</t>
  </si>
  <si>
    <t>متوسط</t>
  </si>
  <si>
    <t>زیاد</t>
  </si>
  <si>
    <t>خیلی زیاد</t>
  </si>
  <si>
    <t>چقدربا امنیت مرتبط است ؟</t>
  </si>
  <si>
    <t>جهت طلا</t>
  </si>
  <si>
    <t>خیلی کم</t>
  </si>
  <si>
    <t>↑</t>
  </si>
  <si>
    <t>بدون تاثیر</t>
  </si>
  <si>
    <t>کاهش یا افزایش خیلی کم</t>
  </si>
  <si>
    <t>کمی کاهش</t>
  </si>
  <si>
    <t>کمی افزایش</t>
  </si>
  <si>
    <t>کاهش یا افزایش کم</t>
  </si>
  <si>
    <t>کاهش متوسط</t>
  </si>
  <si>
    <t>افزایش متوسط</t>
  </si>
  <si>
    <t>کاهش یا افزایش متوسط</t>
  </si>
  <si>
    <t>کاهش زیاد</t>
  </si>
  <si>
    <t>افزایش زیاد</t>
  </si>
  <si>
    <t>کاهش یا افزایش زیاد</t>
  </si>
  <si>
    <t>کاهش خیلی زیاد</t>
  </si>
  <si>
    <t>افزایش خیلی زیاد</t>
  </si>
  <si>
    <t>کاهش یا افزایش خیلی زیاد</t>
  </si>
  <si>
    <t>کاهش خیلی کم</t>
  </si>
  <si>
    <t>افزایش خیلی کم</t>
  </si>
  <si>
    <t>چقدر بر تغییر قیمت طلا اثر دارد؟</t>
  </si>
  <si>
    <t>اطمینان از وقوع خبر</t>
  </si>
  <si>
    <t>اخبار مستقیم درباره شاخص‌های  اقتصادی و بازارهای مالی که بر طلا اثر گذار است</t>
  </si>
  <si>
    <t>وضعیت اطلاع رسانی</t>
  </si>
  <si>
    <t>خبر فوری</t>
  </si>
  <si>
    <t xml:space="preserve">۲۳ اسفند </t>
  </si>
  <si>
    <t>گزارش گاردین از افزایش هزینه‌های جنگ برای آمریکا</t>
  </si>
  <si>
    <t>گاردین نوشت ایران با هدف قرار دادن کشتیرانی در تنگه هرمز و فشار بر کشورهای خلیج فارس تلاش کرده هزینه‌های جنگ برای آمریکا را افزایش دهد و شکاف‌های منطقه‌ای ایجاد کند.</t>
  </si>
  <si>
    <t>ادعای ترامپ درباره تشکیل ائتلاف دریایی برای باز نگه داشتن هرمز</t>
  </si>
  <si>
    <t>دونالد ترامپ مدعی شد کشورهای مختلف با هماهنگی آمریکا کشتی‌های جنگی خود را برای باز نگه داشتن تنگه هرمز اعزام خواهند کرد و واشنگتن به حملات علیه قایق‌ها و توانایی‌های دریایی ایران ادامه می‌دهد.</t>
  </si>
  <si>
    <t>یک کارشناس اقتصادی گفت با وجود عدم حضور مستقیم در جنگ، کشورهای عربی به‌دلیل وابستگی اقتصادی و امنیتی به آمریکا با پیامدهای اقتصادی شدید، کمبود برخی کالاها و احتمال فرار سرمایه از منطقه مواجه شده‌اند.</t>
  </si>
  <si>
    <t>هشدار درباره بحران اقتصادی در کشورهای عربی به‌دلیل جنگ</t>
  </si>
  <si>
    <t>دنیای اقتصاد</t>
  </si>
  <si>
    <t>سپاه اعلام کرد آمریکا و اسرائیل پس از ناکامی نظامی، به هدف قرار دادن صنایع غیرنظامی روی آورده‌اند و به صنایع مرتبط با آمریکا در منطقه هشدار داد.</t>
  </si>
  <si>
    <t>سپاه: دشمن به صنایع غیرنظامی حمله می‌کند</t>
  </si>
  <si>
    <t>۲۴ اسفند</t>
  </si>
  <si>
    <t>ادعای «پرچم دروغین» در حملات اربیل و کویت</t>
  </si>
  <si>
    <t>یک منبع آگاه نظامی مدعی شد حملات پهپادی به پالایشگاه اربیل و رادار فرودگاه کویت توسط آمریکا یا اسرائیل و با هدف «پرچم دروغین» انجام شده و ارتباطی با ایران یا گروه‌های مقاومت ندارد.</t>
  </si>
  <si>
    <t>انفجارهایی در تهران، شیراز و کرمانشاه در شانزدهمین روز جنگ</t>
  </si>
  <si>
    <t>در شانزدهمین روز درگیری‌ها، گزارش‌هایی از شنیده شدن صدای انفجار در تهران، شیراز و کرمانشاه منتشر شد و در حمله به شهرک صنعتی طولای قشم نیز ۵ نفر مجروح شدند.</t>
  </si>
  <si>
    <t>سپاه: تنگه هرمز بسته نشده، تحت کنترل است</t>
  </si>
  <si>
    <t>فرمانده نیروی دریایی سپاه اعلام کرد تنگه هرمز هنوز به‌طور نظامی مسدود نشده و تنها تحت کنترل ایران قرار دارد.</t>
  </si>
  <si>
    <t>شامگاه شنبه صدای دو انفجار در برخی مناطق کرمانشاه شنیده شد؛ محل دقیق حادثه و میزان خسارت یا تلفات هنوز اعلام نشده است.</t>
  </si>
  <si>
    <t>شنیده شدن دو انفجار در کرمانشاه در شامگاه شنبه</t>
  </si>
  <si>
    <t>عراقچی: تنگه هرمز برای کشتی‌های آمریکا و اسرائیل بسته است</t>
  </si>
  <si>
    <t>وزیر خارجه اعلام کرد تنگه هرمز برای سایر کشورها باز است اما عبور کشتی‌ها و نفتکش‌های آمریکا و اسرائیل محدود شده و حمله به جزیره خارک نیز از خاک امارات انجام شده است.</t>
  </si>
  <si>
    <t>گزارش‌ها از انفجار در منامه و دبی</t>
  </si>
  <si>
    <t>منابع خبری از شنیده شدن صدای انفجارهای قوی در منامه بحرین و دبی خبر دادند و برخی گزارش‌ها این رویداد را با احتمال حملات جدید در منطقه مرتبط می‌دانند.</t>
  </si>
  <si>
    <t>ترامپ: با ایران توافق نمی‌کنم</t>
  </si>
  <si>
    <t>ترامپ در گفت‌وگو با NBC اعلام کرد فعلاً قصد توافق با ایران را ندارد و مدعی شد حملات آمریکا جزیره خارک را «تقریباً به طور کامل ویران» کرده است.</t>
  </si>
  <si>
    <t>ارتش اسرائیل: جنگ با ایران تا آوریل ادامه دارد</t>
  </si>
  <si>
    <t>رئیس ستاد کل ارتش اسرائیل در جلسه‌ای با فرماندهان نظامی اعلام کرد برآورد ارتش این است که جنگ با ایران دست‌کم تا ماه آوریل ادامه پیدا کند.</t>
  </si>
  <si>
    <t>اظهارات متناقض ترامپ درباره انگلیس</t>
  </si>
  <si>
    <t>ترامپ که هفته گذشته گفته بود به کشتی‌های انگلیسی نیازی ندارد، این هفته ابراز امیدواری کرد بریتانیا برای کمک به امنیت تنگه هرمز ناوهای خود را اعزام کند.</t>
  </si>
  <si>
    <t>سوئیس عبور پروازهای نظامی آمریکا را محدود کرد</t>
  </si>
  <si>
    <t>دولت سوئیس با تأکید بر سیاست بی‌طرفی اعلام کرد با عبور برخی پروازهای نظامی آمریکا از حریم هوایی خود مخالفت کرده و تنها به تعدادی از پروازها مجوز داده است.</t>
  </si>
  <si>
    <t>فرانسه اعزام کشتی جنگی به منطقه را تکذیب کرد</t>
  </si>
  <si>
    <t>وزارت خارجه فرانسه گزارش‌ها درباره اعزام کشتی‌های جنگی به خاورمیانه را رد کرد و گفت ناوگروه این کشور همچنان در شرق مدیترانه باقی می‌ماند.</t>
  </si>
  <si>
    <t>توطئه نفوذ در مرزهای شمال‌غرب خنثی شد</t>
  </si>
  <si>
    <t>فرمانده سپاه آذربایجان‌غربی اعلام کرد تلاش گروهک‌های تجزیه‌طلب برای ناامن‌سازی مرزهای غرب و شمال‌غرب کشور با اشراف اطلاعاتی نیروهای امنیتی ناکام مانده است.</t>
  </si>
  <si>
    <t>سپاه: تعقیب نتانیاهو ادامه دارد</t>
  </si>
  <si>
    <t>سپاه پاسداران اعلام کرد در موج جدید عملیات «وعده صادق ۴» اهدافی در سرزمین‌های اشغالی و پایگاه‌های آمریکایی هدف قرار گرفته و در صورت زنده بودن نتانیاهو تعقیب او ادامه می‌یابد.</t>
  </si>
  <si>
    <t>اسرائیل بودجه نظامی خود را افزایش داد</t>
  </si>
  <si>
    <t>رسانه‌های عبری گزارش دادند کابینه اسرائیل برای تقویت توان نظامی با اختصاص یک میلیارد شکل بودجه اضافی جهت خرید تجهیزات امنیتی و نظامی موافقت کرده است.</t>
  </si>
  <si>
    <t>رسانه‌های اسرائیلی: حملات ایران ادامه دارد</t>
  </si>
  <si>
    <t>رسانه‌های عبری از ادامه حملات موشکی ایران خبر دادند و اعلام کردند در مناطقی مانند نتانیا آتش‌سوزی رخ داده و آژیرهای خطر چندین بار به صدا درآمده است.</t>
  </si>
  <si>
    <t>زیان سنگین بازار سهام آمریکا</t>
  </si>
  <si>
    <t>در پی افزایش قیمت نفت و نگرانی از تبعات جنگ، شاخص S&amp;P500 کاهش یافته و بازار سهام آمریکا از زمان آغاز جنگ با ایران حدود ۲.۲ تریلیون دلار ارزش خود را از دست داده است.</t>
  </si>
  <si>
    <t>روابط‌عمومی سپاه پاسداران با تکذیب هرگونه ارتباط با حمله ۱۰ فروند پهپاد به ریاض و الشرقیه، اعلام کرد که دولت عربستان باید به دنبال کشف مبدأ اصلی این حملات باشد.</t>
  </si>
  <si>
    <t>تکذیب نقش ایران در حمله پهپادی به عربستان از سوی سپاه</t>
  </si>
  <si>
    <t>دولت آمریکا رسانه‌های منتقد جنگ با ایران را تهدید کرد که در صورت پخش اخبار تحریف‌شده و جعلی، مجوز فعالیت آن‌ها را لغو می‌کند.</t>
  </si>
  <si>
    <t>تهدید رسانه‌های منتقد جنگ با ایران توسط دولت آمریکا</t>
  </si>
  <si>
    <t>دیپلمات پیشین می‌گوید قطعنامه ۲۸۱۷ شورای امنیت کاملاً یک‌جانبه است و روسیه به دلیل افزایش درآمدهای نفتی از برندگان تنش‌های اخیر محسوب می‌شود.</t>
  </si>
  <si>
    <t>دیپلمات پیشین: روسیه از برندگان قطعنامه ۲۸۱۷ و تنش‌های منطقه است</t>
  </si>
  <si>
    <t>کارشناسان نظامی احتمال می‌دهند ایران برای ارتقای دقت حملات موشکی و پهپادی اخیر خود، از سامانه پیشرفته ناوبری ماهواره‌ای «بیدو» چین استفاده کرده باشد.</t>
  </si>
  <si>
    <t>گمانه‌زنی‌ها درباره استفاده ایران از سامانه ناوبری «بیدو» چین</t>
  </si>
  <si>
    <t>آمادگی قبلی چین برای مدیریت ریسک انرژی در جنگ علیه ایران</t>
  </si>
  <si>
    <t>کارشناسان معتقدند چین با واردات انرژی از همسایگان، افزایش ذخایر راهبردی و توسعه انرژی‌های جایگزین، ریسک ناشی از جنگ علیه ایران را پیشاپیش مدیریت کرد.</t>
  </si>
  <si>
    <t>وزیر خارجه ایران با ادعای حملات پهپادی آمریکا و اسرائیل به کشورهای عربی، پیشنهاد تشکیل کمیته تحقیق مشترک داد و بر تداوم دیپلماسی تأکید کرد.</t>
  </si>
  <si>
    <t>ادعای وزیر خارجه ایران درباره حملات آمریکا به کشورهای عربی</t>
  </si>
  <si>
    <t>نخست‌وزیر عراق ضمن انتقاد از نقش اسرائیل در گسترش بحران منطقه‌ای، اعلام کرد عاملان حمله به مراکز دیپلماتیک و مواضع حشدالشعبی تحت پیگرد قرار می‌گیرند.</t>
  </si>
  <si>
    <t>انتقاد نخست‌وزیر عراق از گسترش جنگ منطقه‌ای و هشدار به عاملان حملات داخلی</t>
  </si>
  <si>
    <t>نخستین فرمانده نیروی دریایی سپاه با ضعیف دانستن احتمال حمله زمینی، تأکید کرد در صورت اشغال جزایر، ایران تمامی خطوط قرمز را کنار خواهد گذاشت.</t>
  </si>
  <si>
    <t>هشدار فرمانده پیشین دریایی سپاه؛ واکنش بدون مرز ایران در صورت اشغال جزایر</t>
  </si>
  <si>
    <t>حمله جنگنده‌های پاکستان به مقر طالبان در افغانستان با هدف ترور هبت‌الله آخوندزاده، به دلیل عدم حضور وی در محل بمباران ناکام ماند.</t>
  </si>
  <si>
    <t>حمله هوایی ناکام پاکستان برای ترور رهبر طالبان</t>
  </si>
  <si>
    <t>تلگراف گزارش داد بریتانیا در حال بررسی اعزام پهپادهای رهگیر اختاپوس به خاورمیانه برای مقابله با پهپادهای شاهد ایران است.</t>
  </si>
  <si>
    <t>تلگراف: احتمال اعزام پهپادهای رهگیر بریتانیا به خاورمیانه</t>
  </si>
  <si>
    <t>روزنامه جمهوری اسلامی اعلام کرد هدف حملات پهپادی به ایست‌های بازرسی، زمینه‌سازی برای حضور مزدوران است که با افزایش داوطلبان گشت‌زنی شکست خورد.</t>
  </si>
  <si>
    <t>روزنامه جمهوری اسلامی: حمله به ایست بازرسی برای حضور مزدوران است</t>
  </si>
  <si>
    <t>صنعت فولاد ایران، به‌ویژه مجموعه فولاد خوزستان، با گذر از چالش‌هایی نظیر جنگ و تحریم، از یک پروژه تولیدی به راهبردی ملی برای خودکفایی تبدیل شده و امروز به عنوان پیشران اصلی اقتصاد و تبلور اراده ملی شناخته می‌شود.</t>
  </si>
  <si>
    <t>صنعت فولاد؛ روایت اراده ملی و نماد استقلال اقتصادی ایران</t>
  </si>
  <si>
    <t>کیم جونگ اون از کشورهای عربی خواست در جنگ از ایران حمایت کنند و هشدار داد بی‌عملی، امنیت آینده آن‌ها را تهدید می‌کند.</t>
  </si>
  <si>
    <t>هشدار رهبر کره شمالی به کشورهای عربی برای حمایت از ایران</t>
  </si>
  <si>
    <t>گزارش‌ها نشان می‌دهد با گذشت دو هفته از جنگ، طبقه متوسط و کارگران تهران با وجود ترس و مشکلات اقتصادی، در تلاش برای سازگاری با شرایط هستند.</t>
  </si>
  <si>
    <t>تأثیر جنگ بر زندگی روزمره، روان و اقتصاد طبقه متوسط تهران</t>
  </si>
  <si>
    <t>با توجه به شوک‌های اخیر، تورم نقطه‌ای پایان سال ۱۴۰۴ بر اساس سه سناریوی محتمل، بین ۶۹.۵۶۹.۵۶۹.۵ تا ۷۸۷۸۷۸ درصد پیش‌بینی می‌شود.</t>
  </si>
  <si>
    <t>بررسی سه سناریوی پیش‌بینی نرخ تورم ایران در پایان سال ۱۴۰۴</t>
  </si>
  <si>
    <t>پیش‌بینی اسرائیل هیوم: پایان احتمالی جنگ در ۱۲ فروردین و ارزیابی اهداف نظامی</t>
  </si>
  <si>
    <t>روزنامه اسرائیل هیوم با پیش‌بینی پایان احتمالی جنگ در ۱۲ فروردین، اعلام کرد شانس سرنگونی نظام ایران بسیار کمتر از برآوردهای اولیه است.</t>
  </si>
  <si>
    <t>هشدار لاریجانی درباره توطئه مشابه ۱۱ سپتامبر برای اتهام‌زنی به ایران</t>
  </si>
  <si>
    <t>لاریجانی با هشدار درباره توطئه خلق حادثه‌ای مشابه ۱۱ سپتامبر برای متهم‌سازی ایران، تأکید کرد تهران مخالف تروریسم است و تنها از خود دفاع می‌کند.</t>
  </si>
  <si>
    <t>ریزش سنگین قیمت طلا و سکه در پی بازگشایی بازار ارز و افت دلار</t>
  </si>
  <si>
    <t>با افت شدید قیمت دلار به کانال ۱۴۶ هزار تومان و تعطیلی بازارهای جهانی، نرخ طلا و انواع سکه ریزش قابل‌توجهی را ثبت کرد.</t>
  </si>
  <si>
    <t>آنفلوآنزا در دو استان فراتر از هشدار؛ گیلان و مازندران در وضعیت قرمز</t>
  </si>
  <si>
    <t>در پی جابجایی‌های ناشی از جنگ، شیوع آنفلوآنزا در استان‌های گلستان و مرکزی از مرز هشدار گذشت و گیلان و مازندران نیز در آستانه هشدارند.</t>
  </si>
  <si>
    <t>تغییر وضعیت صوتی تهران در جنگ؛ اضطراب ناشی از انفجارها</t>
  </si>
  <si>
    <t>پایش ایستگاه‌های سنجش صدا در تهران نشان می‌دهد انفجارها قله‌های صوتی تازه‌ای ایجاد کرده و اضطراب شهروندان را افزایش داده است.</t>
  </si>
  <si>
    <t>هشدار فرمانده قرارگاه خاتم‌الانبیا؛ مقابله با دشمنان از طریق مدیریت تنگه هرمز</t>
  </si>
  <si>
    <t>فرمانده قرارگاه خاتم‌الانبیا تأکید کرد نیروهای مسلح ایران با بهره‌گیری از ظرفیت‌های ژئوپلیتیکی نظیر مدیریت تنگه هرمز، مصمم به شکست دشمنان متجاوز هستند.</t>
  </si>
  <si>
    <t>استقبال گسترده از آخرین طرح فروش بدون قرعه‌کشی ایران‌خودرو</t>
  </si>
  <si>
    <t>آخرین طرح فروش فوق‌العاده محصولات ایران‌خودرو در سال جاری با تحویل ۹۰ روزه، با وجود شرایط خاص کشور با استقبال گسترده خریداران روبرو شد.</t>
  </si>
  <si>
    <t>تکذیب شایعات ترور نتانیاهو در پی غیبت طولانی‌مدت در انظار عمومی</t>
  </si>
  <si>
    <t>دفتر نتانیاهو و وزارت خارجه اسرائیل شایعات منتشر شده مبنی بر ترور وی در پی غیبت طولانی در انظار عمومی را قویاً تکذیب کردند.</t>
  </si>
  <si>
    <t>اعلام توقف مذاکرات سه‌جانبه روسیه، آمریکا و اوکراین از سوی کرملین</t>
  </si>
  <si>
    <t>سخنگوی کرملین با اشاره به تغییر اولویت‌های آمریکا، از توقف مذاکرات سه‌جانبه مسکو، واشنگتن و کی‌یف درباره اوکراین خبر داد.</t>
  </si>
  <si>
    <t>صمت آذربایجان شرقی: واحدهای تولیدی آسیب‌دیده غیرنظامی هستند</t>
  </si>
  <si>
    <t>صمت آذربایجان شرقی اعلام کرد تمام واحدهای تولیدی آسیب‌دیده غیرنظامی هستند و ضمن تشکیل پرونده جبران خسارت، مشکلی در تامین کالاهای اساسی وجود ندارد.</t>
  </si>
  <si>
    <t>محکومیت حمله به زیرساخت‌های غیرنظامی هوانوردی توسط سازمان هواپیمایی کشوری</t>
  </si>
  <si>
    <t>سازمان هواپیمایی کشوری حمله آمریکا و اسرائیل به زیرساخت‌های هوانوردی غیرنظامی را نقض آشکار پیمان شیکاگو خواند و آن را شدیداً محکوم کرد.</t>
  </si>
  <si>
    <t>تأکید نخست‌وزیر نروژ بر عدم استقرار سلاح هسته‌ای در این کشور</t>
  </si>
  <si>
    <t>نخست‌وزیر نروژ با رد ادعاهای رسانه‌ای تأکید کرد که اجازه استقرار هیچ‌گونه سلاح هسته‌ای از سوی آمریکا یا اروپا را در کشورش نمی‌دهد.</t>
  </si>
  <si>
    <t>افشای بیش از ۱۰۰ هزار ایمیل محرمانه مقام ارشد اطلاعاتی موساد توسط گروه حنظله</t>
  </si>
  <si>
    <t>گروه سایبری حنظله بیش از ۱۰۰ هزار ایمیل فوق‌محرمانه لورا گیلینسکی، مقام پیشین موساد و مدیرکل مؤسسه مطالعات امنیت ملی را منتشر کرد.</t>
  </si>
  <si>
    <t>تأکید عراقچی بر عدم درخواست آتش‌بس و باز بودن تنگه هرمز</t>
  </si>
  <si>
    <t>عراقچی با تأکید بر عدم درخواست آتش‌بس، اعلام کرد ایران صرفاً پایگاه‌های آمریکایی را هدف گرفته و ناامنی تنگه هرمز نتیجه تجاوز واشنگتن است.</t>
  </si>
  <si>
    <t>تصویب افزایش ۶۰ درصدی حداقل دستمزد کارگران برای سال ۱۴۰۵</t>
  </si>
  <si>
    <t>حداقل دستمزد سال ۱۴۰۵ کارگران با ۶۰ درصد افزایش در شورای عالی کار تصویب شد و مجموع دریافتی کارگر مجرد به ۲۲ میلیون تومان رسید.</t>
  </si>
  <si>
    <t>واکنش منفی و محتاطانه کشورها به درخواست ترامپ برای بازگشایی تنگه هرمز</t>
  </si>
  <si>
    <t>قدرت‌های جهانی با رد درخواست نظامی ترامپ برای بازگشایی تنگه هرمز، بر لزوم استفاده از راهکارهای دیپلماتیک جهت کاهش تنش‌ها تأکید کردند.</t>
  </si>
  <si>
    <t>ادعای یک تحلیلگر سیاسی درباره طرح اجرای «یازده سپتامبر ساختگی» علیه ایران</t>
  </si>
  <si>
    <t>محمد مرندی مدعی طرح مشترک اطلاعاتی آمریکا و اسرائیل برای حمله به برجی در آمریکا یا امارات و اتهام‌زنی به ایران جهت اجماع‌سازی شد.</t>
  </si>
  <si>
    <t>اعلام آسیب‌دیدگی ۱۲ هزار واحد مسکونی در استان تهران طی جنگ اخیر</t>
  </si>
  <si>
    <t>استاندار تهران با تایید آسیب‌دیدگی ۱۲ هزار واحد مسکونی در جنگ، سازوکار ثبت غیرحضوری و جبران خسارت از طریق شهرداری و بنیاد مسکن را تشریح کرد.</t>
  </si>
  <si>
    <t>کاهش چشمگیر مصرف بنزین در پی افت مراجعات غیرضروری به جایگاه‌های سوخت</t>
  </si>
  <si>
    <t>سخنگوی صنف جایگاه‌داران از توزیع عادی و پایدار سوخت و کاهش محسوس مصرف بنزین در کشور به دلیل افت مراجعات غیرضروری شهروندان خبر داد.</t>
  </si>
  <si>
    <t>هشدار قرارگاه خاتم‌الانبیا درباره هدف قرار دادن زیرساخت‌های منطقه‌ای مرتبط با شبکه اینترنشنال</t>
  </si>
  <si>
    <t>قرارگاه خاتم‌الانبیا هشدار داد زیرساخت‌های منطقه‌ای مرتبط با شبکه اینترنشنال، در صورت تداوم همکاری، به فهرست اهداف نظامی جمهوری اسلامی ایران افزوده خواهند شد.</t>
  </si>
  <si>
    <t>گزارش هلال‌احمر از آسیب به ۵۴ هزار واحد غیرنظامی و آغاز پیگیری حقوقی بین‌المللی</t>
  </si>
  <si>
    <t>رئیس هلال‌احمر با تایید خسارت به ۵۴ هزار واحد غیرنظامی، آموزشی و درمانی، از آغاز پیگیری حقوقی این حملات در مراجع بین‌المللی خبر داد.</t>
  </si>
  <si>
    <t>رصد ماهواره‌ای چین: افزایش فاصله ناوهای هواپیمابر آمریکایی از سواحل ایران</t>
  </si>
  <si>
    <t>تصاویر ماهواره‌ای چین نشان می‌دهد ناوهای هواپیمابر «آبراهام لینکلن» و «جرالد فورد» آمریکا با تغییر موقعیت در منطقه، از سواحل ایران فاصله گرفته‌اند.</t>
  </si>
  <si>
    <t>سخنگوی سپاه: ترامپ اگر جرئت دارد ناوهایش را وارد خلیج‌فارس کند</t>
  </si>
  <si>
    <t>سخنگوی سپاه ضمن به چالش کشیدن ترامپ برای اعزام ناو به خلیج‌فارس، اعلام کرد بسیاری از زاغه‌های موشکی ایران هنوز دست‌نخورده باقی مانده‌اند.</t>
  </si>
  <si>
    <t>گفت‌وگوی تلفنی پزشکیان و مکرون؛ در مقابله با متجاوزین تردید نداریم</t>
  </si>
  <si>
    <t>در تماس تلفنی پزشکیان و مکرون، رئیس‌جمهور ایران بر دفاع قاطع در برابر متجاوزان تاکید کرد و همتای فرانسوی خواستار کاهش تنش‌های منطقه‌ای شد.</t>
  </si>
  <si>
    <t>۲۵ اسفند</t>
  </si>
  <si>
    <t>در هفدهمین روز حملات، انفجارهایی در چند شهر رخ داد و حمله موشکی به اطراف اراک ۵ شهید و ۷ مصدوم برجای گذاشت.</t>
  </si>
  <si>
    <t>روز هفدهم حملات: ۵ شهید در اراک و انفجار در چند شهر</t>
  </si>
  <si>
    <t>دونالد ترامپ اعلام کرد باز نگه داشتن تنگه هرمز وظیفه آمریکا نیست و کشورهای دریافت‌کننده نفت باید این مسئولیت را بر عهده بگیرند.</t>
  </si>
  <si>
    <t>ترامپ: باز نگه داشتن تنگه هرمز وظیفه آمریکا نیست</t>
  </si>
  <si>
    <t>در پی پنج حمله موشکی به فرودگاه بغداد و مجروحیت چهار نفر، ضمن کشف سکوی پرتاب، فرماندهان امنیتی منطقه برکنار شدند.</t>
  </si>
  <si>
    <t>حمله موشکی به فرودگاه بغداد؛ چهار مجروح و برکناری فرماندهان امنیتی</t>
  </si>
  <si>
    <t>ادعای سی‌ان‌ان: جنگ با ایران چند هفته دیگر ادامه دارد</t>
  </si>
  <si>
    <t>بر اساس گزارش سی‌ان‌ان، آمریکا و اسرائیل پیش‌بینی می‌کنند جنگ با ایران احتمالاً تا چند هفته دیگر ادامه خواهد داشت.</t>
  </si>
  <si>
    <t>سودجویی پنج میلیارد دلاری خانواده ترامپ از جنگ با ایران</t>
  </si>
  <si>
    <t>همزمان با جنگ منطقه‌ای، تلاش کوشنر برای جذب ۵ میلیارد دلار و سرمایه‌گذاری پسران ترامپ در صنعت پهپاد، انتقادات درباره تضاد منافع را برانگیخت.</t>
  </si>
  <si>
    <t>در حمله یک پهپاد و ۵ موشک به پایگاه لجستیکی سفارت آمریکا در بغداد، سامانه پدافندی این مقر عمل نکرده و آسیب دید.</t>
  </si>
  <si>
    <t>حمله پهپادی و موشکی به پایگاه لجستیکی سفارت آمریکا در بغداد</t>
  </si>
  <si>
    <t>هشدار شرکت‌های نفتی آمریکا به ترامپ درباره تشدید بحران انرژی</t>
  </si>
  <si>
    <t>شرکت‌های نفتی به دولت آمریکا هشدار دادند که توقف عرضه از تنگه هرمز به تشدید بحران انرژی می‌انجامد؛ همزمان گزارش‌ها حاکی از عدم برنامه اتحادیه اروپا برای گسترش ماموریت دریایی خود به این منطقه است.</t>
  </si>
  <si>
    <t>ادعاهای ترامپ: تکذیب قایق‌های انتحاری، تمایل ایران به مذاکره و تجمعات ساختگی</t>
  </si>
  <si>
    <t>ترامپ مدعی تمایل ایران به مذاکره و ساختگی‌بودن قایق‌های انتحاری و تجمعات مردمی شد و از پاسخ درباره اعزام نیروی زمینی طفره رفت.</t>
  </si>
  <si>
    <t>درخواست کمک ترامپ از ناتو و چین برای بازگشایی تنگه هرمز</t>
  </si>
  <si>
    <t>ترامپ علیرغم ادعای برتری نظامی، با هشدار به اعضای ناتو و درخواست از چین، خواستار کمک برای بازگشایی تنگه هرمز شد.</t>
  </si>
  <si>
    <t>استیو هانکه: تنگه هرمز برگ برنده ایران در جنگ با آمریکاست</t>
  </si>
  <si>
    <t>استیو هانکه، اقتصاددان آمریکایی، بسته شدن تنگه هرمز و سرگردانی کشتی‌های باری را برگ برنده اصلی ایران در جنگ با آمریکا و اسرائیل دانست.</t>
  </si>
  <si>
    <t>بازگشت پروازهای نظامی گسترده چین به آسمان تایوان</t>
  </si>
  <si>
    <t>با بازگشت پروازهای نظامی گسترده چین به اطراف تایوان پس از دو هفته وقفه، گمانه‌زنی‌ها درباره انگیزه‌های پکن افزایش یافت.</t>
  </si>
  <si>
    <t>برآورد ۱۲ میلیارد دلاری کاخ سفید از هزینه جنگ با ایران</t>
  </si>
  <si>
    <t>کاخ سفید هزینه جنگ علیه ایران را ۱۲ میلیارد دلار و سازمان ملل هزینه روزانه این نبرد را یک میلیارد دلار اعلام کرد.</t>
  </si>
  <si>
    <t>بحران تنگه هرمز؛ توقف تولید آلومینیوم بحرین و جهش قیمت‌های جهانی</t>
  </si>
  <si>
    <t>انسداد تنگه هرمز باعث کاهش ۱۹ درصدی تولید آلومینیوم بحرین، انباشت ۵ میلیون تن محصول و جهش قیمت جهانی به بالاترین رکورد چهارساله شد.</t>
  </si>
  <si>
    <t>گاردین: ایران با «تله تشدید تنش» جنگ را پرهزینه و پیچیده می‌کند</t>
  </si>
  <si>
    <t>گاردین گزارش داد ایران با تشدید تنش‌ها و ایجاد شکاف منطقه‌ای، جنگ را پیچیده‌تر کرده و موجب ناکامی ترامپ و نتانیاهو شده است.</t>
  </si>
  <si>
    <t>محدودیت‌های تنگه هرمز موجب توقف ۱۹ درصدی تولید شرکت آلومینیوم بحرین، انسداد صادرات و انباشت پنج میلیون تن محصول در انبارها شد.</t>
  </si>
  <si>
    <t>شوک آلومینیومی تنگه هرمز؛ توقف ۱۹ درصدی تولید شرکت بحرین</t>
  </si>
  <si>
    <t>ادعای ترامپ: ایران با هوش مصنوعی اخبار حملات نظامی را جعل می‌کند</t>
  </si>
  <si>
    <t>ترامپ مدعی شد ایران با استفاده از هوش مصنوعی، اخبار حملات موفقیت‌آمیز به نیروها و تجهیزات نظامی آمریکا را جعل می‌کند.</t>
  </si>
  <si>
    <t>درخواست ارتش اسرائیل برای فراخوان ۴۵۰ هزار نظامی ذخیره</t>
  </si>
  <si>
    <t>در پی کمبود نیرو و وضعیت صرفاً دفاعی در لبنان، ارتش اسرائیل از کابینه خواست فراخوان ۴۵۰ هزار نظامی ذخیره را تصویب کند.</t>
  </si>
  <si>
    <t>موافقت مشروط رئیس پارلمان لبنان با مذاکره: آتش‌بس و بازگشت آوارگان</t>
  </si>
  <si>
    <t>نبیه بری، رئیس پارلمان لبنان، هرگونه مذاکره با رژیم صهیونیستی را تنها به برقراری آتش‌بس پایدار و بازگشت امن آوارگان مشروط کرد.</t>
  </si>
  <si>
    <t>ریزش و خروج سرمایه از صندوق‌های طلا و نقره پس از تعطیلات</t>
  </si>
  <si>
    <t>پس از بازگشایی بورس، صندوق‌های طلا و نقره با افت ۱۰ درصدی و خروج سنگین سرمایه به سمت صندوق‌های درآمد ثابت مواجه شدند.</t>
  </si>
  <si>
    <t>تناقض در روایت‌های ترامپ از جنگ با ایران</t>
  </si>
  <si>
    <t>ترامپ با ارائه تصویر موفق از جنگ و همزمان متهم کردن رسانه‌ها به تلاش برای شکست آمریکا، روایت‌های متناقضی از این نبرد ارائه می‌دهد.</t>
  </si>
  <si>
    <t>کاهش شدید معاملات و رکود عمیق در بازار طلا</t>
  </si>
  <si>
    <t>در سایه شرایط جنگی و نااطمینانی‌های اقتصادی، بازار طلا با رکود عمیق، کاهش شدید معاملات و خروج خریداران مواجه شده است.</t>
  </si>
  <si>
    <t>تعلیق موقت خدمات کنسولی سفارت آمریکا در اردن</t>
  </si>
  <si>
    <t>وزارت خارجه آمریکا به دلیل شرایط منطقه، خدمات کنسولی سفارت خود در اردن را موقتاً متوقف کرد و خواستار خروج شهروندانش از این کشور شد.</t>
  </si>
  <si>
    <t>آمادگی ایران برای ایجاد سازوکار امنیتی خلیج فارس و تنگه هرمز</t>
  </si>
  <si>
    <t>سفیر ایران در روسیه ضمن اعلام آمادگی برای ایجاد سازوکار امنیتی خلیج فارس، خواستار پرداخت خسارات توسط متجاوز و پیگیری حمله میناب شد.</t>
  </si>
  <si>
    <t>رد درخواست ترامپ توسط استرالیا برای اعزام ناو به خلیج فارس</t>
  </si>
  <si>
    <t>استرالیا نیز مانند ژاپن و فرانسه، درخواست ترامپ برای اعزام ناو جنگی به خلیج فارس جهت تامین امنیت کشتیرانی را رد کرد.</t>
  </si>
  <si>
    <t>عراقچی: ایران درخواستی برای آتش‌بس یا مذاکره نداده است</t>
  </si>
  <si>
    <t>عراقچی با تکذیب درخواست آتش‌بس و مذاکره، تاکید کرد حملات تا توقف جنگ و پرداخت غرامت توسط آمریکا ادامه خواهد یافت.</t>
  </si>
  <si>
    <t>هشدار ترامپ به ناتو درباره همکاری برای بازگشایی تنگه هرمز</t>
  </si>
  <si>
    <t>ترامپ با یادآوری کمک آمریکا به اوکراین، از ناتو برای بازگشایی تنگه هرمز درخواست کمک کرد و نسبت به پیامدهای عدم همکاری هشدار داد.</t>
  </si>
  <si>
    <t>عراقچی: مشاوره‌های نادرست، جنگ را به ایران و آمریکا تحمیل کرد</t>
  </si>
  <si>
    <t>عراقچی اعلام کرد مشاوره‌های نادرست به رئیس‌جمهور آمریکا مانع توافق شد و این جنگ خونین را به مردم ایران و آمریکا تحمیل کرد.</t>
  </si>
  <si>
    <t>آغاز عملیات زمینی محدود ارتش اسرائیل در جنوب لبنان</t>
  </si>
  <si>
    <t>ارتش اسرائیل عملیات زمینی محدودی را علیه پایگاه‌های حزب‌الله در جنوب لبنان با هدف از بین بردن زیرساخت‌ها و رفع تهدیدها آغاز کرد.</t>
  </si>
  <si>
    <t>در پی جنگ، نفت اوپک ۱۲۰ و برنت ۱۰۶ دلار شد؛ عربستان تولیدش را ۲۰ درصد کاهش داد و نفت کوره رکورد شکست.</t>
  </si>
  <si>
    <t>نفت اوپک ۱۲۰ دلار شد؛ کاهش ۲۰ درصدی تولید نفت عربستان</t>
  </si>
  <si>
    <t>کارشناس انرژی: حمله به خارک صادرات را متوقف نمی‌کند؛ کاهش حجم صدور با افزایش قیمت جبران شده و مشکلی برای صادرات وجود ندارد.</t>
  </si>
  <si>
    <t>کارشناس انرژی: حمله به خارک تاثیری بر صادرات نفت ندارد</t>
  </si>
  <si>
    <t>نخست‌وزیر انگلیس با اشاره به دشواری بازگشایی تنگه هرمز و تلاش برای آزادی کشتیرانی، بر ضرورت توافق با ایران پس از جنگ تاکید کرد.</t>
  </si>
  <si>
    <t>نخست‌وزیر انگلیس: پس از پایان جنگ نیازمند توافق با ایران هستیم</t>
  </si>
  <si>
    <t>با وجود تداوم حملات و تلفات در لبنان، رویترز به نقل از مقامات اسرائیلی از آغاز مذاکرات در هفته آینده خبر داد؛ همزمان رئیس پارلمان لبنان، آتش‌بس جامع و بازگشت امن آوارگان را پیش‌شرط‌های اصلی این روند اعلام کرد.</t>
  </si>
  <si>
    <t>رویترز: آغاز قریب‌الوقوع مذاکرات اسرائیل و لبنان؛ شروط نبیه بری برای توافق</t>
  </si>
  <si>
    <t>قرارگاه خاتم هشدار داد زیرساخت‌های همکار با شبکه اینترنشنال در منطقه هدف قرار گرفته و رابطان داخلی این شبکه شناسایی و ردیابی می‌شوند.</t>
  </si>
  <si>
    <t>هشدار قرارگاه خاتم درباره هدف قرار دادن زیرساخت‌های منطقه‌ای شبکه اینترنشنال</t>
  </si>
  <si>
    <t>سخنگوی وزارت خارجه با تاکید بر تداوم دفاع تمام‌عیار، اعلام کرد عبور شناورهای کشورهای غیردرگیر از تنگه هرمز تنها با مجوز ایران امکان‌پذیر است.</t>
  </si>
  <si>
    <t>بقائی: تداوم دفاع مشروع و شرط عبور کشورهای بی‌طرف از تنگه هرمز</t>
  </si>
  <si>
    <t>در پی افت دلار و اونس جهانی، طلای ۱۸ عیار کانال ۱۷ میلیونی را از دست داد و قیمت انواع سکه نیز کاهش یافت.</t>
  </si>
  <si>
    <t>کاهش شدید قیمت‌ها؛ طلا کانال ۱۷ میلیونی را از دست داد</t>
  </si>
  <si>
    <t>قیمت دلار آزاد با کاهش هزار تومانی به ۱۴۵ هزار تومان و یورو به ۱۶۵ هزار تومان رسید؛ دلار توافقی نیز کاهش یافت.</t>
  </si>
  <si>
    <t>ادامه روند کاهشی بازار ارز؛ دلار به ۱۴۵ هزار تومان رسید</t>
  </si>
  <si>
    <t>در ادامه حملات اخیر به پایگاه‌های منطقه‌ای، منافع و مواضع آمریکا در بحرین مجدداً هدف حملات پهپادی و موشکی قرار گرفت.</t>
  </si>
  <si>
    <t>حمله پهپادی و موشکی به مواضع و منافع آمریکا در بحرین</t>
  </si>
  <si>
    <t>عراقچی تاکید کرد عدم تقاضای آتش‌بس جنگ‌طلبی نیست؛ تنگه هرمز تنها روی دشمنان بسته است و پیروزی به زودی جشن گرفته می‌شود.</t>
  </si>
  <si>
    <t>عراقچی: تقاضای آتش‌بس ندادیم اما جنگ‌طلب نیستیم؛ پیروزی نزدیک است</t>
  </si>
  <si>
    <t>کالاس پس از رایزنی با گوترش اعلام کرد اتحادیه اروپا برای باز نگه‌داشتن تنگه هرمز، امکان تغییر مأموریت دریایی «آسپیدس» را بررسی می‌کند.</t>
  </si>
  <si>
    <t>رایزنی کالاس و گوترش درباره تنگه هرمز و بررسی تغییر مأموریت آسپیدس</t>
  </si>
  <si>
    <t>پایگاه لجستیکی سفارت آمریکا در فرودگاه بغداد هدف حمله یک پهپاد و ۵ موشک قرار گرفت که منجر به آسیب سامانه پدافندی آن شد.</t>
  </si>
  <si>
    <t>سخنگوی قرارگاه خاتم‌الانبیا اعلام کرد مراکز لجستیکی ناو هواپیمابر آمریکایی جرالد فورد در دریای سرخ، هدف بعدی نیروهای مسلح ایران خواهد بود.</t>
  </si>
  <si>
    <t>قرارگاه خاتم‌الانبیا: مراکز لجستیکی ناو آمریکایی هدف بعدی ایران است</t>
  </si>
  <si>
    <t>سپاه پاسداران با هشدار درباره حمله قریب‌الوقوع به صنایع وابسته به آمریکا در منطقه، خواستار تخلیه فوری مردم از اطراف این کارخانه‌ها شد.</t>
  </si>
  <si>
    <t>هشدار سپاه برای تخلیه فوری اطراف صنایع وابسته به آمریکا در منطقه</t>
  </si>
  <si>
    <t>رویترز گزارش داد انسداد تنگه هرمز باعث کاهش بیش از ۵۰ درصدی تولید نفت امارات و توقف کامل عملیات در میادین دریایی شده است.</t>
  </si>
  <si>
    <t>رویترز: کاهش ۵۰ درصدی تولید نفت امارات در پی انسداد هرمز</t>
  </si>
  <si>
    <t>در حمله مسلحانه به خودروی گشت انتظامی شهرستان تفتان، ۵ مأمور پلیس و یک شهروند شهید شدند و تلاش برای دستگیری عاملان ادامه دارد.</t>
  </si>
  <si>
    <t>شهادت ۵ پلیس و یک شهروند در حمله تروریستی تفتان</t>
  </si>
  <si>
    <t>الجزیره از انفجار در پایگاه‌های آمریکایی امارات و توقف بارگیری نفت در بندر فجیره به دلیل آتش‌سوزی ناشی از حمله پهپادی خبر داد.</t>
  </si>
  <si>
    <t>انفجار در پایگاه‌های آمریکا در امارات و حمله پهپادی به فجیره</t>
  </si>
  <si>
    <t>سخنگوی دولت با ارائه آمار شهدای غیرنظامی و خسارت ۶۱ هزار ساختمان، از افزایش حداقل دستمزد کارگران به ۱۶.۶ میلیون تومان خبر داد.</t>
  </si>
  <si>
    <t>گزارش سخنگوی دولت از خسارات جنگ، شهدای غیرنظامی و افزایش دستمزد کارگران</t>
  </si>
  <si>
    <t>دونالد ترامپ پیش‌بینی کرد جنگ با ایران به زودی پایان می‌یابد و پس از آن قیمت نفت به شدت کاهش خواهد یافت.</t>
  </si>
  <si>
    <t>ترامپ: جنگ با ایران طولانی نخواهد بود؛ قیمت نفت پس از پایان جنگ کاهش می‌یابد</t>
  </si>
  <si>
    <t>وزرای خارجه ایتالیا و آلمان با رد درخواست پیوستن به ائتلاف دریایی آمریکا در تنگه هرمز، بر ضرورت دیپلماسی و عدم مداخله ناتو در این درگیری تأکید کردند. پیش‌تر انگلیس نیز این درخواست واشنگتن را رد کرده بود.</t>
  </si>
  <si>
    <t>مخالفت ایتالیا و آلمان با پیوستن به ائتلاف پیشنهادی ترامپ برای بازگشایی تنگه هرمز</t>
  </si>
  <si>
    <t>وزیر امور خارجه ایران در واکنش به گزارش‌هایی مبنی بر استفاده از خاک برخی کشورهای همسایه برای حمله به ایران و کشته شدن غیرنظامیان، خواستار اعلام موضع سریع و شفاف این کشورها شد.</t>
  </si>
  <si>
    <t>درخواست عراقچی از کشورهای همسایه برای شفاف‌سازی فوری درباره همکاری در حمله به ایران</t>
  </si>
  <si>
    <t>صدراعظم آلمان: در جنگ با ایران و تأمین امنیت هرمز مشارکت نمی‌کنیم</t>
  </si>
  <si>
    <t>صدراعظم آلمان با تأکید بر عدم مشارکت کشورش در جنگ خاورمیانه و تأمین امنیت تنگه هرمز، خواستار پایان هرچه سریع‌تر درگیری‌ها شد.</t>
  </si>
  <si>
    <t>لاوروف: آماده میانجیگری در جنگ هستیم؛ حمله‌کنندگان به ایران اشتباه کردند</t>
  </si>
  <si>
    <t>وزیر خارجه روسیه ضمن اعلام آمادگی برای میانجیگری، تأکید کرد که حمله‌کنندگان به ایران متوجه اشتباه بزرگ خود شده‌اند.</t>
  </si>
  <si>
    <t>اصابت موشک‌های ایران به نزدیکی دفتر نتانیاهو و فرودگاه بن‌گوریون</t>
  </si>
  <si>
    <t>به گزارش رسانه‌های صهیونیستی، موشک‌های ایران با عبور از پدافند هوایی به نزدیکی دفتر نتانیاهو، فرودگاه بن‌گوریون و مناطقی در تل‌آویو اصابت کردند.</t>
  </si>
  <si>
    <t>ادعای ترامپ: کشورهای بسیاری برای کمک در تنگه هرمز در راه‌اند</t>
  </si>
  <si>
    <t>دونالد ترامپ مدعی شد کشورهای بسیاری برای کمک در تنگه هرمز در راه‌اند و مکرون نیز احتمالاً در این زمینه همکاری خواهد کرد.</t>
  </si>
  <si>
    <t>یک منبع امنیتی درباره برنامه موساد و سیا برای پروژه کشته‌سازی و اعتراف رضا پهلوی به سازماندهی هسته‌های آشوب هشدار داد.</t>
  </si>
  <si>
    <t>هشدار امنیتی درباره طراحی موساد برای کشته‌سازی و فعال‌کردن هسته‌های ترور</t>
  </si>
  <si>
    <t>در پی شهادت حجت‌الاسلام سامعی در حمله آمریکا و اسرائیل، حجت‌الاسلام فقیهی به‌عنوان مسئول جدید دفتر رئیس و دبیرخانه مجلس خبرگان منصوب شد.</t>
  </si>
  <si>
    <t>انتصاب مسئول جدید دفتر مجلس خبرگان در پی شهادت حجت‌الاسلام سامعی</t>
  </si>
  <si>
    <t>شهردار تهران اعلام کرد با وجود حمله آمریکا و اسرائیل به ۱۴ هزار نقطه پایتخت و تلفات غیرنظامیان، وضعیت خدمات‌رسانی عادی است.</t>
  </si>
  <si>
    <t>شهردار تهران: ۱۴ هزار نقطه در پایتخت هدف حملات قرار گرفته است</t>
  </si>
  <si>
    <t>تحلیل سی‌ان‌ان: تناقض ادعای پیروزی ترامپ با درخواست کمک از اروپا</t>
  </si>
  <si>
    <t>سی‌ان‌ان در تحلیلی اعلام کرد ادعای پیروزی ترامپ در جنگ، با درخواست کمک او از اروپا برای بازگشایی تنگه هرمز در تناقض آشکار است.</t>
  </si>
  <si>
    <t>ادعای منابع عبری درباره کمای نتانیاهو پس از افشای ویدیوهای ساختگی</t>
  </si>
  <si>
    <t>در پی افشای تولید ویدیوهای اخیر نتانیاهو با هوش مصنوعی، برخی منابع عبری مدعی شدند وی در کما است و دفترش پنهان‌کاری می‌کند.</t>
  </si>
  <si>
    <t>سنتکام از مجروح شدن ۲۰۰ سرباز از زمان حمله به ایران خبر داد</t>
  </si>
  <si>
    <t>سنتکام اعلام کرد از زمان آغاز حملات علیه ایران، ۲۰۰ سرباز آمریکایی مجروح شده‌اند که بیش از ۱۸۰ نفر از آن‌ها به خدمت بازگشته‌اند.</t>
  </si>
  <si>
    <t>هشدار سردار شکارچی درباره حمله به خارک: تاسیسات مبدا خاکستر می‌شود</t>
  </si>
  <si>
    <t>سردار شکارچی هشدار داد در صورت تجاوز آمریکا به جزیره خارک، تمام تاسیسات نفت و گاز کشور مبدا تجاوز به خاکستر تبدیل خواهد شد.</t>
  </si>
  <si>
    <t xml:space="preserve">۲۶ اسفند </t>
  </si>
  <si>
    <t>هزینه جنگ علیه ایران برای آمریکا از ۲۱ میلیارد دلار گذشت</t>
  </si>
  <si>
    <t>هزینه‌های مستقیم آمریکا در شانزدهمین روز جنگ علیه ایران از ۲۱ میلیارد دلار گذشت که با احتساب خسارات وارده، رقم واقعی بسیار بیشتر است.</t>
  </si>
  <si>
    <t>ترامپ: قطعاً می‌توانیم جنگ را در همین هفته به پایان برسانیم</t>
  </si>
  <si>
    <t>ترامپ با ادعای نابودی توان نظامی و موشکی ایران و درخواست کمک برای بازگشایی تنگه هرمز، اعلام کرد جنگ به‌زودی پایان می‌یابد.</t>
  </si>
  <si>
    <t>عراقچی ادعای تماس مجدد با فرستاده ویژه آمریکا را تکذیب کرد</t>
  </si>
  <si>
    <t>عراقچی ادعای تماس مجدد با ویتکاف، فرستاده آمریکا را تکذیب کرد و آن را طرحی برای گمراه کردن خریداران نفت و افکار عمومی خواند.</t>
  </si>
  <si>
    <t>تکذیب تماس با ویتکاف؛ تلاش رسانه‌ای آمریکا برای خروج از جنگ</t>
  </si>
  <si>
    <t>مقامات ایران با تکذیب خبرسازی آمریکا درباره تماس مجدد عراقچی و ویتکاف، تاکید کردند آتش‌بسی که سایه جنگ را تداوم بخشد، نخواهند پذیرفت.</t>
  </si>
  <si>
    <t>حمله پهپادی و موشکی به پایگاه‌های آمریکا در کویت</t>
  </si>
  <si>
    <t>رسانه‌ها از حمله پهپادی به پایگاه‌های آمریکا در کویت خبر دادند و ارتش این کشور مقابله پدافند هوایی با این حملات را تایید کرد.</t>
  </si>
  <si>
    <t>ادعای معاون ترامپ درباره تحقق اهداف جنگ علیه ایران</t>
  </si>
  <si>
    <t>معاون رئیس‌جمهور آمریکا با حمایت از ترامپ و انتقاد از رؤسای‌جمهور پیشین، مدعی شد اهداف جنگ علیه ایران محقق خواهد شد.</t>
  </si>
  <si>
    <t>روز هجدهم حملات؛ وقوع انفجار و فعالیت پدافند در چند شهر ایران</t>
  </si>
  <si>
    <t>در هجدهمین روز حملات آمریکا و اسرائیل، وقوع انفجار و فعالیت پدافند هوایی در تهران، تبریز، کرمانشاه، کرج و بندرعباس گزارش شده است.</t>
  </si>
  <si>
    <t>رئیس مجلس تأکید کرد ایران آغازگر جنگ نبوده اما در برابر متجاوزان ایستادگی کرده و با جلوگیری از تحمیل اراده آمریکا، نظمی بومی در خاورمیانه ایجاد می‌کند.</t>
  </si>
  <si>
    <t>قالیباف: چهره خاورمیانه را با نظمی بومی تغییر می‌دهیم</t>
  </si>
  <si>
    <t>وزیر خارجه ایران تأکید کرد جنگ تنها زمانی پایان می‌یابد که امکان تکرار تجاوز دشمنان از بین رفته و متجاوز پاسخگوی اقدامات خود باشد.</t>
  </si>
  <si>
    <t>شرط ایران برای پایان جنگ؛ جلوگیری از تکرار تجاوز دشمنان</t>
  </si>
  <si>
    <t>ادعای جدید دونالد ترامپ درباره پایان زودهنگام جنگ با ایران</t>
  </si>
  <si>
    <t>دونالد ترامپ با اشاره به هراس کشتی‌داران از احتمال مین‌گذاری در تنگه هرمز، ادعا کرد جنگ با ایران به زودی پایان می‌یابد.</t>
  </si>
  <si>
    <t>عقب‌نشینی دو کشتی مین‌روب نیروی دریایی آمریکا به شرق آسیا</t>
  </si>
  <si>
    <t>در بحبوحه درگیری با ایران، دو کشتی مین‌روب نیروی دریایی آمریکا با عقب‌نشینی از بحرین، به مالزی در شرق آسیا منتقل شدند.</t>
  </si>
  <si>
    <t>یک هواپیمای سوخت‌رسان آمریکایی پس از حادثه در آسمان عراق، در فرودگاه بن‌گوریون تل‌آویو فرود اضطراری کرد و آمبولانس‌ها برای انتقال مصدومان مستقر شدند.</t>
  </si>
  <si>
    <t>فرود اضطراری هواپیمای سوخت‌رسان آسیب‌دیده آمریکایی در تل‌آویو</t>
  </si>
  <si>
    <t>گزارش ریستاد انرژی نشان می‌دهد توقف روزانه ۱۲ میلیون بشکه نفت و گاز در تنگه هرمز، زنگ خطری جدی برای امنیت انرژی جهانی است.</t>
  </si>
  <si>
    <t>توقف عرضه ۱۲ میلیون بشکه نفت و گاز در غرب آسیا</t>
  </si>
  <si>
    <t>عبور اولین نفتکش غیرایرانی از تنگه هرمز با پرداخت یوان چین</t>
  </si>
  <si>
    <t>ایران با دریافت وجه به یوان، مجوز عبور اولین نفتکش غیرایرانی از تنگه هرمز را صادر کرد که اقدامی علیه سلطه دلار ارزیابی می‌شود.</t>
  </si>
  <si>
    <t>اتحادیه اروپا اعلام کرد اعضای این نهاد با درخواست آمریکا برای اعزام نیرو به تنگه هرمز و مشارکت نظامی علیه ایران مخالفت کرده‌اند.</t>
  </si>
  <si>
    <t>مخالفت اتحادیه اروپا با مشارکت در اقدام نظامی علیه ایران</t>
  </si>
  <si>
    <t>لئون پانتا تأکید کرد با توجه به استحکام حکومت ایران و تبعات اقتصادی جنگ، پایان درگیری بدون تغییر حاکمیت، پیروزی تهران محسوب می‌شود.</t>
  </si>
  <si>
    <t>وزیر دفاع اسبق آمریکا: بدون تغییر حکومت، ایران پیروز جنگ است</t>
  </si>
  <si>
    <t>حمله گسترده پهپادی به سفارت آمریکا در بغداد</t>
  </si>
  <si>
    <t>رسانه‌ها از حمله پهپادی به سفارت آمریکا در بغداد و شنیده شدن صدای انفجار در اطراف آن خبر دادند.</t>
  </si>
  <si>
    <t>خسارت ۲۴.۵ هزار میلیارد تومانی جنگ به بخش مسکن تهران</t>
  </si>
  <si>
    <t>در پی تخریب ۱۰ هزار واحد مسکونی تهران طی حملات اخیر، هزینه بازسازی برای دولت حدود ۲۴.۵ هزار میلیارد تومان برآورد می‌شود.</t>
  </si>
  <si>
    <t>بر اساس گزارش فایننشال تایمز، ایران در شرایط جنگی با صادرات روزانه بیش از ۱.۵ میلیون بشکه نفت، حدود ۱۴۰ میلیون دلار درآمد دارد.</t>
  </si>
  <si>
    <t>فایننشال تایمز: درآمد روزانه ۱۴۰ میلیون دلاری ایران در سایه جنگ</t>
  </si>
  <si>
    <t>در پی جنگ خاورمیانه و انسداد تنگه هرمز، قیمت گازوئیل در آمریکا با جهشی کم‌سابقه از ۶ دلار به ازای هر گالن عبور کرد.</t>
  </si>
  <si>
    <t>جهش قیمت سوخت در آمریکا؛ عبور گازوئیل از مرز ۶ دلار</t>
  </si>
  <si>
    <t>توقف فعالیت بندر الفجیره در پی حمله پهپادی به نفتکش کویتی</t>
  </si>
  <si>
    <t>در پی حمله پهپادی به نفتکش کویتی، فعالیت بندر الفجیره متوقف شد و تولید نفت امارات ۵۰ درصد کاهش یافت.</t>
  </si>
  <si>
    <t>به گزارش ان‌بی‌سی نیوز، مقامات نظامی آمریکا گزینه‌هایی برای توقف جنگ با ایران به ترامپ ارائه کرده‌اند، اما وی هنوز تصمیمی نگرفته است.</t>
  </si>
  <si>
    <t>ان‌بی‌سی نیوز: پیشنهاد مقامات نظامی به ترامپ برای توقف جنگ</t>
  </si>
  <si>
    <t>ثبات نسبی قیمت دلار و سایر ارزها در ۲۶ اسفند</t>
  </si>
  <si>
    <t>بازار ارز در ۲۶ اسفند با ثبات نسبی همراه بود و قیمت دلار آزاد در محدوده ۱۴۵ تا ۱۴۷ هزار تومان نوسان داشت.</t>
  </si>
  <si>
    <t>دونالد ترامپ پس از عملیات نظامی آمریکا و ربودن مادورو، مدعی شد ونزوئلا شاید به ایالت پنجاه و یکم آمریکا تبدیل شود.</t>
  </si>
  <si>
    <t>ترامپ: ونزوئلا شاید ایالت پنجاه و یکم آمریکا شود</t>
  </si>
  <si>
    <t>افزایش قیمت طلا و سکه در ۲۶ اسفند؛ جبران سقوط قیمت‌ها</t>
  </si>
  <si>
    <t>با رشد اونس جهانی، در ۲۶ اسفند قیمت طلای ۱۸ عیار به ۱۷.۴ میلیون و سکه امامی به ۱۷۶ میلیون تومان افزایش یافت.</t>
  </si>
  <si>
    <t>درخواست عراقچی از گوترش برای محکومیت تجاوز آمریکا و اسرائیل</t>
  </si>
  <si>
    <t>عراقچی در تماس با دبیرکل سازمان ملل، خواستار محکومیت تجاوز آمریکا و اسرائیل شد و ناامنی تنگه هرمز را پیامد این حملات دانست.</t>
  </si>
  <si>
    <t>ادعای وزیر دفاع اسرائیل درباره ترور علی لاریجانی</t>
  </si>
  <si>
    <t>وزیر دفاع اسرائیل مدعی ترور علی لاریجانی، دبیر شورای عالی امنیت ملی شد؛ ادعایی که تاکنون توسط منابع رسمی داخلی تایید نشده است.</t>
  </si>
  <si>
    <t>توصیه رئیس اتحادیه طلا به مردم: در شرایط بی‌ثبات بازار معامله نکنید</t>
  </si>
  <si>
    <t>نادر بذرافشان با اشاره به نوسانات بازار، از مردم خواست تا زمان بازگشت ثبات و پایداری قیمت‌ها، از خرید و فروش طلا و سکه خودداری کنند.</t>
  </si>
  <si>
    <t>ادعای بلومبرگ؛ موافقت ایران با عبور کشتی‌های هند و ترکیه</t>
  </si>
  <si>
    <t>بلومبرگ مدعی شد ایران عبور از تنگه هرمز را نیازمند هماهنگی دانسته و تاکنون مجوز تردد کشتی‌های هند و ترکیه را صادر کرده است.</t>
  </si>
  <si>
    <t>تعویق سفر دونالد ترامپ به چین در پی جنگ با ایران</t>
  </si>
  <si>
    <t>دونالد ترامپ به دلیل جنگ با ایران و عدم همراهی متحدانش، سفر برنامه‌ریزی‌شده خود به چین را حدود یک ماه به تعویق انداخت.</t>
  </si>
  <si>
    <t>خبر گزاری تسنیم</t>
  </si>
  <si>
    <t>پاسخ قالیباف به ترامپ؛ وضعیت تنگه هرمز به قبل بازنمی‌گردد</t>
  </si>
  <si>
    <t>رئیس مجلس در پاسخ به انتقادات ترامپ، در شبکه ایکس تاکید کرد که وضعیت تنگه هرمز دیگر به شرایط پیش از جنگ بازنخواهد گشت.</t>
  </si>
  <si>
    <t>سندرز ضمن اشاره به استعفای جو کنت، تاکید کرد جنگ با ایران نه به‌دلیل تهدیدات، بلکه در نتیجه فشار لابی اسرائیل آغاز شده است.</t>
  </si>
  <si>
    <t>واکنش سندرز به استعفای مقام آمریکایی در اعتراض به جنگ ایران</t>
  </si>
  <si>
    <t>خبر آنلاین</t>
  </si>
  <si>
    <t>جهش قیمت نفت و بحران صادرات از تنگه هرمز، کشورهای مصرف‌کننده را وادار می‌کند تا برای پایان جنگ به ترامپ فشار بیاورند.</t>
  </si>
  <si>
    <t>بحران اقتصاد جهانی با نفت گران؛ فشار مصرف‌کنندگان به ترامپ</t>
  </si>
  <si>
    <t>سقوط ۳۷ درصدی بازار املاک دبی؛ زیان ۳۰۰ میلیارد دلاری سرمایه‌گذاران</t>
  </si>
  <si>
    <t>سقوط ۳۷ درصدی شاخص املاک دبی در پی جنگ اخیر، موجب زیان ۳۰۰ میلیارد دلاری سرمایه‌گذاران و خروج سرمایه‌ها از امارات شده است.</t>
  </si>
  <si>
    <t>پلتفرم طلا میلی در هفته نخست جنگ، ضمن ثبت حدود ۵۰۰ کیلوگرم معامله، سقف برداشت روزانه کاربران را ۲۰ میلیون تومان تعیین کرد.</t>
  </si>
  <si>
    <t>تداوم فعالیت میلی در شرایط جنگی؛ ثبت ۵۰۰ کیلوگرم معامله طلا</t>
  </si>
  <si>
    <t>آمار جدید عبور کشتی‌ها از تنگه هرمز با اجازه ایران</t>
  </si>
  <si>
    <t>آمارهای جدید نشان می‌دهد با اعمال کنترل ایران بر تنگه هرمز، تردد روزانه کشتی‌ها با مجوز تهران به حداکثر سه فروند کاهش یافته است.</t>
  </si>
  <si>
    <t>خبرگزاری مهر</t>
  </si>
  <si>
    <t>یک کارشناس هشدار داد تداوم انسداد تنگه هرمز موجب افزایش شدید بدهی آمریکا و تحمیل خسارت ۵ تریلیون دلاری به اقتصاد جهانی می‌شود.</t>
  </si>
  <si>
    <t>تداوم انسداد تنگه هرمز؛ افزایش بدهی آمریکا و خسارت جهانی</t>
  </si>
  <si>
    <t>۲۷ اسفند</t>
  </si>
  <si>
    <t>مشرق نیوز</t>
  </si>
  <si>
    <t>تایید شهادت علی لاریجانی، دبیر شورای عالی امنیت ملی</t>
  </si>
  <si>
    <t>دبیرخانه شورای عالی امنیت ملی از شهادت علی لاریجانی، فرزندش و چند تن از همراهان در حمله تروریستی خبر داد.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</si>
</sst>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3000000]h:mm"/>
  </numFmts>
  <fonts count="17">
    <font>
      <sz val="11"/>
      <color theme="1"/>
      <name val="Calibri"/>
      <family val="2"/>
      <scheme val="minor"/>
    </font>
    <font>
      <sz val="11"/>
      <color theme="1"/>
      <name val="B Mitra"/>
      <charset val="178"/>
    </font>
    <font>
      <sz val="14"/>
      <color theme="1"/>
      <name val="B Mitra"/>
      <charset val="178"/>
    </font>
    <font>
      <b/>
      <sz val="11"/>
      <name val="B Titr"/>
      <charset val="178"/>
    </font>
    <font>
      <sz val="11"/>
      <color theme="1"/>
      <name val="B Titr"/>
      <charset val="178"/>
    </font>
    <font>
      <sz val="14"/>
      <color theme="1"/>
      <name val="B Titr"/>
      <charset val="178"/>
    </font>
    <font>
      <u/>
      <sz val="11"/>
      <color theme="10"/>
      <name val="Calibri"/>
      <family val="2"/>
      <scheme val="minor"/>
    </font>
    <font>
      <u/>
      <sz val="14"/>
      <color theme="10"/>
      <name val="B Mitra"/>
      <charset val="178"/>
    </font>
    <font>
      <u/>
      <sz val="14"/>
      <color theme="10"/>
      <name val="Calibri"/>
      <family val="2"/>
      <scheme val="minor"/>
    </font>
    <font>
      <sz val="12"/>
      <color theme="1"/>
      <name val="Segoe UI"/>
      <family val="2"/>
    </font>
    <font>
      <sz val="12"/>
      <color theme="1" tint="4.9989318521683403E-2"/>
      <name val="Segoe UI"/>
      <family val="2"/>
    </font>
    <font>
      <sz val="8"/>
      <name val="Calibri"/>
      <family val="2"/>
      <scheme val="minor"/>
    </font>
    <font>
      <b/>
      <sz val="11"/>
      <color theme="1"/>
      <name val="B Mitra"/>
    </font>
    <font>
      <sz val="12"/>
      <color theme="1" tint="4.9989318521683403E-2"/>
      <name val="Segoe UI"/>
      <family val="2"/>
    </font>
    <font>
      <sz val="12"/>
      <name val="Arial"/>
      <family val="2"/>
    </font>
    <font>
      <sz val="12"/>
      <color theme="1"/>
      <name val="Arial"/>
      <family val="2"/>
    </font>
    <font>
      <sz val="10"/>
      <color theme="1"/>
      <name val="B Titr"/>
      <charset val="178"/>
    </font>
  </fonts>
  <fills count="10">
    <fill>
      <patternFill patternType="none"/>
    </fill>
    <fill>
      <patternFill patternType="gray125"/>
    </fill>
    <fill>
      <patternFill patternType="solid">
        <fgColor theme="9" tint="0.39997558519241921"/>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3" tint="0.59999389629810485"/>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7" tint="0.59999389629810485"/>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s>
  <cellStyleXfs count="2">
    <xf numFmtId="0" fontId="0" fillId="0" borderId="0"/>
    <xf numFmtId="0" fontId="6" fillId="0" borderId="0" applyNumberFormat="0" applyFill="0" applyBorder="0" applyAlignment="0" applyProtection="0"/>
  </cellStyleXfs>
  <cellXfs count="79">
    <xf numFmtId="0" fontId="0" fillId="0" borderId="0" xfId="0"/>
    <xf numFmtId="0" fontId="0" fillId="0" borderId="0" xfId="0" applyAlignment="1">
      <alignment wrapText="1"/>
    </xf>
    <xf numFmtId="0" fontId="1" fillId="0" borderId="1" xfId="0" applyFont="1" applyBorder="1"/>
    <xf numFmtId="0" fontId="1" fillId="0" borderId="1" xfId="0" applyFont="1" applyBorder="1" applyAlignment="1">
      <alignment wrapText="1"/>
    </xf>
    <xf numFmtId="0" fontId="4" fillId="0" borderId="0" xfId="0" applyFont="1"/>
    <xf numFmtId="0" fontId="1" fillId="0" borderId="3" xfId="0" applyFont="1" applyBorder="1"/>
    <xf numFmtId="0" fontId="1" fillId="0" borderId="4" xfId="0" applyFont="1" applyBorder="1" applyAlignment="1">
      <alignment wrapText="1"/>
    </xf>
    <xf numFmtId="0" fontId="3" fillId="0" borderId="5" xfId="0" applyFont="1" applyBorder="1" applyAlignment="1">
      <alignment horizontal="center" vertical="top"/>
    </xf>
    <xf numFmtId="0" fontId="3" fillId="0" borderId="2" xfId="0" applyFont="1" applyBorder="1" applyAlignment="1">
      <alignment horizontal="center" vertical="top"/>
    </xf>
    <xf numFmtId="0" fontId="3" fillId="0" borderId="6" xfId="0" applyFont="1" applyBorder="1" applyAlignment="1">
      <alignment horizontal="center" vertical="top"/>
    </xf>
    <xf numFmtId="0" fontId="1" fillId="0" borderId="7" xfId="0" applyFont="1" applyBorder="1"/>
    <xf numFmtId="0" fontId="1" fillId="0" borderId="8" xfId="0" applyFont="1" applyBorder="1"/>
    <xf numFmtId="0" fontId="1" fillId="0" borderId="8" xfId="0" applyFont="1" applyBorder="1" applyAlignment="1">
      <alignment wrapText="1"/>
    </xf>
    <xf numFmtId="0" fontId="1" fillId="0" borderId="9" xfId="0" applyFont="1" applyBorder="1" applyAlignment="1">
      <alignment wrapText="1"/>
    </xf>
    <xf numFmtId="0" fontId="0" fillId="0" borderId="0" xfId="0" applyAlignment="1">
      <alignment horizontal="center" vertical="center"/>
    </xf>
    <xf numFmtId="0" fontId="2" fillId="0" borderId="1" xfId="0" applyFont="1" applyBorder="1" applyAlignment="1">
      <alignment horizontal="center" vertical="center"/>
    </xf>
    <xf numFmtId="0" fontId="5" fillId="2" borderId="1" xfId="0" applyFont="1" applyFill="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7" fillId="0" borderId="1" xfId="1" applyFont="1" applyBorder="1" applyAlignment="1">
      <alignment horizontal="center" vertical="center"/>
    </xf>
    <xf numFmtId="0" fontId="2" fillId="0" borderId="1" xfId="0" applyFont="1" applyBorder="1" applyAlignment="1">
      <alignment horizontal="center" vertical="center" readingOrder="2"/>
    </xf>
    <xf numFmtId="0" fontId="8" fillId="0" borderId="1" xfId="1" applyFont="1" applyBorder="1" applyAlignment="1">
      <alignment horizontal="center" vertical="center"/>
    </xf>
    <xf numFmtId="0" fontId="0" fillId="0" borderId="1" xfId="0" applyBorder="1" applyAlignment="1">
      <alignment horizontal="center" vertical="center"/>
    </xf>
    <xf numFmtId="0" fontId="6" fillId="0" borderId="1" xfId="1" applyBorder="1" applyAlignment="1">
      <alignment horizontal="center" vertical="center"/>
    </xf>
    <xf numFmtId="0" fontId="0" fillId="0" borderId="10" xfId="0" applyBorder="1"/>
    <xf numFmtId="0" fontId="1" fillId="0" borderId="0" xfId="0" applyFont="1" applyAlignment="1">
      <alignment horizontal="center" vertical="center"/>
    </xf>
    <xf numFmtId="0" fontId="0" fillId="5" borderId="0" xfId="0" applyFill="1" applyAlignment="1">
      <alignment horizontal="center" vertical="center"/>
    </xf>
    <xf numFmtId="0" fontId="0" fillId="6" borderId="0" xfId="0" applyFill="1" applyAlignment="1">
      <alignment horizontal="center" vertical="center"/>
    </xf>
    <xf numFmtId="0" fontId="0" fillId="0" borderId="0" xfId="0" applyAlignment="1">
      <alignment horizontal="right" wrapText="1"/>
    </xf>
    <xf numFmtId="0" fontId="0" fillId="0" borderId="0" xfId="0" applyAlignment="1">
      <alignment horizontal="right"/>
    </xf>
    <xf numFmtId="0" fontId="16" fillId="0" borderId="0" xfId="0" applyFont="1"/>
    <xf numFmtId="0" fontId="16" fillId="0" borderId="4" xfId="0" applyFont="1" applyBorder="1" applyAlignment="1">
      <alignment horizontal="center" vertical="center" wrapText="1" readingOrder="2"/>
    </xf>
    <xf numFmtId="0" fontId="3" fillId="7" borderId="11" xfId="0" applyFont="1" applyFill="1" applyBorder="1" applyAlignment="1">
      <alignment horizontal="center" vertical="center" wrapText="1"/>
    </xf>
    <xf numFmtId="0" fontId="3" fillId="7" borderId="12" xfId="0" applyFont="1" applyFill="1" applyBorder="1" applyAlignment="1" applyProtection="1">
      <alignment horizontal="center" vertical="center"/>
      <protection locked="0"/>
    </xf>
    <xf numFmtId="0" fontId="3" fillId="7" borderId="13" xfId="0" applyFont="1" applyFill="1" applyBorder="1" applyAlignment="1" applyProtection="1">
      <alignment horizontal="center" vertical="center"/>
      <protection locked="0"/>
    </xf>
    <xf numFmtId="0" fontId="3" fillId="8" borderId="13" xfId="0" applyFont="1" applyFill="1" applyBorder="1" applyAlignment="1" applyProtection="1">
      <alignment horizontal="center" vertical="center" wrapText="1"/>
      <protection locked="0"/>
    </xf>
    <xf numFmtId="0" fontId="3" fillId="4" borderId="13" xfId="0" applyFont="1" applyFill="1" applyBorder="1" applyAlignment="1" applyProtection="1">
      <alignment horizontal="center" vertical="center" wrapText="1"/>
      <protection locked="0"/>
    </xf>
    <xf numFmtId="0" fontId="3" fillId="9" borderId="13" xfId="0" applyFont="1" applyFill="1" applyBorder="1" applyAlignment="1" applyProtection="1">
      <alignment horizontal="center" vertical="center" wrapText="1"/>
      <protection locked="0"/>
    </xf>
    <xf numFmtId="0" fontId="3" fillId="7" borderId="11" xfId="0" applyFont="1" applyFill="1" applyBorder="1" applyAlignment="1" applyProtection="1">
      <alignment horizontal="center" vertical="center" wrapText="1"/>
      <protection locked="0"/>
    </xf>
    <xf numFmtId="0" fontId="1" fillId="0" borderId="3" xfId="0" applyFont="1" applyBorder="1" applyAlignment="1" applyProtection="1">
      <alignment horizontal="center" vertical="center" readingOrder="2"/>
      <protection locked="0"/>
    </xf>
    <xf numFmtId="0" fontId="1" fillId="0" borderId="1" xfId="0" applyFont="1" applyBorder="1" applyAlignment="1" applyProtection="1">
      <alignment horizontal="center" vertical="center" readingOrder="2"/>
      <protection locked="0"/>
    </xf>
    <xf numFmtId="20" fontId="1" fillId="0" borderId="1" xfId="0" applyNumberFormat="1" applyFont="1" applyBorder="1" applyAlignment="1" applyProtection="1">
      <alignment horizontal="center" vertical="center" readingOrder="2"/>
      <protection locked="0"/>
    </xf>
    <xf numFmtId="0" fontId="1" fillId="0" borderId="4" xfId="0" applyFont="1" applyBorder="1" applyAlignment="1" applyProtection="1">
      <alignment horizontal="center" vertical="center" readingOrder="2"/>
      <protection locked="0"/>
    </xf>
    <xf numFmtId="0" fontId="1" fillId="0" borderId="4" xfId="0" applyFont="1" applyBorder="1" applyAlignment="1" applyProtection="1">
      <alignment horizontal="right" vertical="center" readingOrder="2"/>
      <protection locked="0"/>
    </xf>
    <xf numFmtId="0" fontId="6" fillId="0" borderId="4" xfId="1" applyBorder="1" applyAlignment="1" applyProtection="1">
      <alignment horizontal="center" vertical="center" readingOrder="2"/>
      <protection locked="0"/>
    </xf>
    <xf numFmtId="0" fontId="14" fillId="0" borderId="1" xfId="0" applyFont="1" applyBorder="1" applyAlignment="1" applyProtection="1">
      <alignment horizontal="center" vertical="center"/>
      <protection locked="0"/>
    </xf>
    <xf numFmtId="20" fontId="1" fillId="0" borderId="4" xfId="0" applyNumberFormat="1" applyFont="1" applyBorder="1" applyAlignment="1" applyProtection="1">
      <alignment horizontal="center" vertical="center" readingOrder="2"/>
      <protection locked="0"/>
    </xf>
    <xf numFmtId="20" fontId="6" fillId="0" borderId="4" xfId="1" applyNumberFormat="1" applyBorder="1" applyAlignment="1" applyProtection="1">
      <alignment horizontal="center" vertical="center" readingOrder="2"/>
      <protection locked="0"/>
    </xf>
    <xf numFmtId="0" fontId="15" fillId="0" borderId="1" xfId="0" applyFont="1" applyBorder="1" applyProtection="1">
      <protection locked="0"/>
    </xf>
    <xf numFmtId="0" fontId="6" fillId="0" borderId="0" xfId="1" applyBorder="1" applyProtection="1">
      <protection locked="0"/>
    </xf>
    <xf numFmtId="0" fontId="1" fillId="0" borderId="7" xfId="0" applyFont="1" applyBorder="1" applyAlignment="1" applyProtection="1">
      <alignment horizontal="center" vertical="center" readingOrder="2"/>
      <protection locked="0"/>
    </xf>
    <xf numFmtId="20" fontId="1" fillId="0" borderId="8" xfId="0" applyNumberFormat="1" applyFont="1" applyBorder="1" applyAlignment="1" applyProtection="1">
      <alignment horizontal="center" vertical="center" readingOrder="2"/>
      <protection locked="0"/>
    </xf>
    <xf numFmtId="0" fontId="1" fillId="0" borderId="9" xfId="0" applyFont="1" applyBorder="1" applyAlignment="1" applyProtection="1">
      <alignment horizontal="center" vertical="center" readingOrder="2"/>
      <protection locked="0"/>
    </xf>
    <xf numFmtId="0" fontId="12" fillId="0" borderId="4" xfId="0" applyFont="1" applyBorder="1" applyAlignment="1" applyProtection="1">
      <alignment horizontal="center" vertical="center" readingOrder="2"/>
      <protection locked="0"/>
    </xf>
    <xf numFmtId="0" fontId="9" fillId="0" borderId="0" xfId="0" applyFont="1" applyProtection="1">
      <protection locked="0"/>
    </xf>
    <xf numFmtId="0" fontId="10" fillId="0" borderId="1" xfId="0" applyFont="1" applyBorder="1" applyProtection="1">
      <protection locked="0"/>
    </xf>
    <xf numFmtId="0" fontId="10" fillId="0" borderId="0" xfId="0" applyFont="1" applyProtection="1">
      <protection locked="0"/>
    </xf>
    <xf numFmtId="0" fontId="1" fillId="0" borderId="1" xfId="0" applyFont="1" applyBorder="1" applyAlignment="1" applyProtection="1">
      <alignment horizontal="center" vertical="center" wrapText="1" readingOrder="2"/>
      <protection locked="0"/>
    </xf>
    <xf numFmtId="0" fontId="13" fillId="0" borderId="0" xfId="0" applyFont="1" applyProtection="1">
      <protection locked="0"/>
    </xf>
    <xf numFmtId="0" fontId="6" fillId="0" borderId="9" xfId="1" applyBorder="1" applyAlignment="1" applyProtection="1">
      <alignment horizontal="center" vertical="center" readingOrder="2"/>
      <protection locked="0"/>
    </xf>
    <xf numFmtId="0" fontId="1" fillId="0" borderId="1" xfId="0" applyFont="1" applyBorder="1" applyAlignment="1" applyProtection="1">
      <alignment horizontal="right" vertical="center" wrapText="1" readingOrder="2"/>
      <protection locked="0"/>
    </xf>
    <xf numFmtId="0" fontId="1" fillId="0" borderId="8" xfId="0" applyFont="1" applyBorder="1" applyAlignment="1" applyProtection="1">
      <alignment horizontal="center" vertical="center" readingOrder="2"/>
      <protection locked="0"/>
    </xf>
    <xf numFmtId="0" fontId="1" fillId="0" borderId="0" xfId="0" applyFont="1" applyAlignment="1" applyProtection="1">
      <alignment horizontal="center" vertical="center" readingOrder="2"/>
      <protection locked="0"/>
    </xf>
    <xf numFmtId="0" fontId="3" fillId="7" borderId="2" xfId="0" applyFont="1" applyFill="1" applyBorder="1" applyAlignment="1" applyProtection="1">
      <alignment horizontal="center" vertical="center"/>
      <protection locked="0"/>
    </xf>
    <xf numFmtId="0" fontId="1" fillId="0" borderId="0" xfId="0" applyFont="1" applyAlignment="1" applyProtection="1">
      <alignment horizontal="center" vertical="center" wrapText="1" readingOrder="2"/>
      <protection locked="0"/>
    </xf>
    <xf numFmtId="0" fontId="0" fillId="0" borderId="4" xfId="0" applyBorder="1" applyAlignment="1" applyProtection="1">
      <alignment horizontal="center" vertical="center" readingOrder="2"/>
      <protection locked="0"/>
    </xf>
    <xf numFmtId="0" fontId="0" fillId="0" borderId="4" xfId="0" applyBorder="1" applyAlignment="1" applyProtection="1">
      <alignment horizontal="right" vertical="center" readingOrder="2"/>
      <protection locked="0"/>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readingOrder="2"/>
      <protection locked="0"/>
    </xf>
    <xf numFmtId="0" fontId="0" fillId="0" borderId="1" xfId="0" applyBorder="1" applyProtection="1">
      <protection locked="0"/>
    </xf>
    <xf numFmtId="0" fontId="0" fillId="0" borderId="1" xfId="0" applyBorder="1" applyAlignment="1" applyProtection="1">
      <alignment vertical="center"/>
      <protection locked="0"/>
    </xf>
    <xf numFmtId="164" fontId="1" fillId="0" borderId="1" xfId="0" applyNumberFormat="1" applyFont="1" applyBorder="1" applyAlignment="1" applyProtection="1">
      <alignment horizontal="center" vertical="center" readingOrder="2"/>
      <protection locked="0"/>
    </xf>
    <xf numFmtId="0" fontId="4" fillId="3" borderId="8"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2" xfId="0" applyFont="1" applyBorder="1" applyAlignment="1">
      <alignment horizontal="center" vertical="center" wrapText="1"/>
    </xf>
    <xf numFmtId="0" fontId="0" fillId="0" borderId="1" xfId="0" applyFont="1" applyBorder="1" applyAlignment="1" applyProtection="1">
      <alignment horizontal="center" vertical="center"/>
      <protection locked="0"/>
    </xf>
    <xf numFmtId="0" fontId="0" fillId="0" borderId="1" xfId="0" applyFont="1" applyBorder="1" applyAlignment="1" applyProtection="1">
      <alignment horizontal="center" vertical="center" readingOrder="2"/>
      <protection locked="0"/>
    </xf>
  </cellXfs>
  <cellStyles count="2">
    <cellStyle name="Hyperlink" xfId="1" builtinId="8"/>
    <cellStyle name="Normal" xfId="0" builtinId="0"/>
  </cellStyles>
  <dxfs count="38">
    <dxf>
      <fill>
        <patternFill>
          <bgColor theme="6" tint="0.39994506668294322"/>
        </patternFill>
      </fill>
    </dxf>
    <dxf>
      <fill>
        <patternFill>
          <bgColor theme="0" tint="-0.14996795556505021"/>
        </patternFill>
      </fill>
    </dxf>
    <dxf>
      <fill>
        <patternFill>
          <bgColor theme="6" tint="0.39994506668294322"/>
        </patternFill>
      </fill>
    </dxf>
    <dxf>
      <fill>
        <patternFill>
          <bgColor theme="6" tint="0.39994506668294322"/>
        </patternFill>
      </fill>
    </dxf>
    <dxf>
      <fill>
        <patternFill>
          <bgColor theme="0" tint="-0.14996795556505021"/>
        </patternFill>
      </fill>
    </dxf>
    <dxf>
      <fill>
        <patternFill>
          <bgColor theme="0" tint="-0.14996795556505021"/>
        </patternFill>
      </fill>
    </dxf>
    <dxf>
      <fill>
        <patternFill>
          <bgColor theme="6" tint="0.39994506668294322"/>
        </patternFill>
      </fill>
    </dxf>
    <dxf>
      <fill>
        <patternFill>
          <bgColor theme="9" tint="0.39994506668294322"/>
        </patternFill>
      </fill>
    </dxf>
    <dxf>
      <font>
        <b val="0"/>
        <i val="0"/>
        <strike val="0"/>
        <condense val="0"/>
        <extend val="0"/>
        <outline val="0"/>
        <shadow val="0"/>
        <u val="none"/>
        <vertAlign val="baseline"/>
        <sz val="11"/>
        <color theme="1"/>
        <name val="B Mitra"/>
        <charset val="178"/>
        <scheme val="none"/>
      </font>
      <alignment horizontal="general" vertical="bottom"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theme="1"/>
        <name val="B Mitra"/>
        <charset val="178"/>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B Mitra"/>
        <charset val="178"/>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B Mitra"/>
        <charset val="178"/>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B Mitra"/>
        <charset val="178"/>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B Mitra"/>
        <charset val="178"/>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B Mitra"/>
        <charset val="178"/>
        <scheme val="none"/>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B Mitra"/>
        <charset val="178"/>
        <scheme val="none"/>
      </font>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B Mitra"/>
        <charset val="178"/>
        <scheme val="none"/>
      </font>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B Mitra"/>
        <charset val="178"/>
        <scheme val="none"/>
      </font>
    </dxf>
    <dxf>
      <border outline="0">
        <bottom style="thin">
          <color auto="1"/>
        </bottom>
      </border>
    </dxf>
    <dxf>
      <font>
        <b/>
        <i val="0"/>
        <strike val="0"/>
        <condense val="0"/>
        <extend val="0"/>
        <outline val="0"/>
        <shadow val="0"/>
        <u val="none"/>
        <vertAlign val="baseline"/>
        <sz val="11"/>
        <color auto="1"/>
        <name val="B Titr"/>
        <charset val="178"/>
        <scheme val="none"/>
      </font>
      <alignment horizontal="center" vertical="top" textRotation="0" wrapText="0" indent="0" justifyLastLine="0" shrinkToFit="0" readingOrder="0"/>
      <border diagonalUp="0" diagonalDown="0" outline="0">
        <left style="thin">
          <color auto="1"/>
        </left>
        <right style="thin">
          <color auto="1"/>
        </right>
        <top/>
        <bottom/>
      </border>
    </dxf>
    <dxf>
      <font>
        <strike val="0"/>
        <outline val="0"/>
        <shadow val="0"/>
        <u val="none"/>
        <vertAlign val="baseline"/>
        <sz val="11"/>
        <color theme="1"/>
        <name val="B Mitra"/>
        <charset val="178"/>
        <scheme val="none"/>
      </font>
      <alignment horizontal="center" vertical="center" textRotation="0" indent="0" justifyLastLine="0" shrinkToFit="0" readingOrder="2"/>
      <protection locked="0" hidden="0"/>
    </dxf>
    <dxf>
      <font>
        <strike val="0"/>
        <outline val="0"/>
        <shadow val="0"/>
        <u val="none"/>
        <vertAlign val="baseline"/>
        <sz val="10"/>
        <color theme="1"/>
        <name val="B Titr"/>
        <charset val="178"/>
        <scheme val="none"/>
      </font>
      <numFmt numFmtId="0" formatCode="General"/>
      <alignment horizontal="center" vertical="center" textRotation="0" wrapText="0" indent="0" justifyLastLine="0" shrinkToFit="0" readingOrder="2"/>
      <border diagonalUp="0" diagonalDown="0">
        <left style="thin">
          <color auto="1"/>
        </left>
        <right style="thin">
          <color auto="1"/>
        </right>
        <top style="thin">
          <color auto="1"/>
        </top>
        <bottom style="thin">
          <color auto="1"/>
        </bottom>
      </border>
    </dxf>
    <dxf>
      <font>
        <strike val="0"/>
        <outline val="0"/>
        <shadow val="0"/>
        <u val="none"/>
        <vertAlign val="baseline"/>
        <sz val="11"/>
        <color theme="1"/>
        <name val="B Mitra"/>
        <charset val="178"/>
        <scheme val="none"/>
      </font>
      <alignment horizontal="center" vertical="center" textRotation="0" indent="0" justifyLastLine="0" shrinkToFit="0" readingOrder="2"/>
      <protection locked="0" hidden="0"/>
    </dxf>
    <dxf>
      <font>
        <strike val="0"/>
        <outline val="0"/>
        <shadow val="0"/>
        <u val="none"/>
        <vertAlign val="baseline"/>
        <sz val="11"/>
        <color theme="1"/>
        <name val="B Mitra"/>
        <charset val="178"/>
        <scheme val="none"/>
      </font>
      <alignment horizontal="center" vertical="center" textRotation="0" indent="0" justifyLastLine="0" shrinkToFit="0" readingOrder="2"/>
      <border diagonalUp="0" diagonalDown="0">
        <left style="thin">
          <color auto="1"/>
        </left>
        <right style="thin">
          <color auto="1"/>
        </right>
        <top style="thin">
          <color auto="1"/>
        </top>
        <bottom style="thin">
          <color auto="1"/>
        </bottom>
      </border>
      <protection locked="0" hidden="0"/>
    </dxf>
    <dxf>
      <font>
        <strike val="0"/>
        <outline val="0"/>
        <shadow val="0"/>
        <u val="none"/>
        <vertAlign val="baseline"/>
        <sz val="11"/>
        <color theme="1"/>
        <name val="B Mitra"/>
        <charset val="178"/>
        <scheme val="none"/>
      </font>
      <alignment horizontal="center" vertical="center" textRotation="0" indent="0" justifyLastLine="0" shrinkToFit="0" readingOrder="2"/>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B Mitra"/>
        <charset val="178"/>
        <scheme val="none"/>
      </font>
      <numFmt numFmtId="0" formatCode="General"/>
      <alignment horizontal="center" vertical="center" textRotation="0" wrapText="1" indent="0" justifyLastLine="0" shrinkToFit="0" readingOrder="2"/>
      <border diagonalUp="0" diagonalDown="0">
        <left style="thin">
          <color auto="1"/>
        </left>
        <right style="thin">
          <color auto="1"/>
        </right>
        <top style="thin">
          <color auto="1"/>
        </top>
        <bottom style="thin">
          <color auto="1"/>
        </bottom>
        <vertical/>
        <horizontal/>
      </border>
      <protection locked="0" hidden="0"/>
    </dxf>
    <dxf>
      <font>
        <strike val="0"/>
        <outline val="0"/>
        <shadow val="0"/>
        <u val="none"/>
        <vertAlign val="baseline"/>
        <sz val="11"/>
        <color theme="1"/>
        <name val="B Mitra"/>
        <charset val="178"/>
        <scheme val="none"/>
      </font>
      <alignment horizontal="right" vertical="center" textRotation="0" wrapText="1" indent="0" justifyLastLine="0" shrinkToFit="0" readingOrder="2"/>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B Mitra"/>
        <charset val="178"/>
        <scheme val="none"/>
      </font>
      <alignment horizontal="center" vertical="center" textRotation="0" indent="0" justifyLastLine="0" shrinkToFit="0" readingOrder="2"/>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theme="1"/>
        <name val="B Mitra"/>
        <charset val="178"/>
        <scheme val="none"/>
      </font>
      <alignment horizontal="center" vertical="center" textRotation="0" wrapText="0" indent="0" justifyLastLine="0" shrinkToFit="0" readingOrder="2"/>
      <border diagonalUp="0" diagonalDown="0">
        <left style="thin">
          <color auto="1"/>
        </left>
        <right style="thin">
          <color auto="1"/>
        </right>
        <top style="thin">
          <color auto="1"/>
        </top>
        <bottom style="thin">
          <color auto="1"/>
        </bottom>
        <vertical/>
        <horizontal/>
      </border>
      <protection locked="0" hidden="0"/>
    </dxf>
    <dxf>
      <font>
        <strike val="0"/>
        <outline val="0"/>
        <shadow val="0"/>
        <u val="none"/>
        <vertAlign val="baseline"/>
        <sz val="11"/>
        <color theme="1"/>
        <name val="B Mitra"/>
        <charset val="178"/>
        <scheme val="none"/>
      </font>
      <alignment horizontal="center" vertical="center" textRotation="0" indent="0" justifyLastLine="0" shrinkToFit="0" readingOrder="2"/>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color theme="1"/>
        <name val="B Mitra"/>
        <charset val="178"/>
        <scheme val="none"/>
      </font>
      <alignment horizontal="center" vertical="center" textRotation="0" indent="0" justifyLastLine="0" shrinkToFit="0" readingOrder="2"/>
      <border diagonalUp="0" diagonalDown="0">
        <left/>
        <right style="thin">
          <color indexed="64"/>
        </right>
        <top style="thin">
          <color indexed="64"/>
        </top>
        <bottom style="thin">
          <color indexed="64"/>
        </bottom>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B Mitra"/>
        <charset val="178"/>
        <scheme val="none"/>
      </font>
      <alignment horizontal="center" vertical="center" textRotation="0" indent="0" justifyLastLine="0" shrinkToFit="0" readingOrder="2"/>
    </dxf>
    <dxf>
      <border>
        <bottom style="thin">
          <color indexed="64"/>
        </bottom>
      </border>
    </dxf>
    <dxf>
      <font>
        <b/>
        <i val="0"/>
        <strike val="0"/>
        <condense val="0"/>
        <extend val="0"/>
        <outline val="0"/>
        <shadow val="0"/>
        <u val="none"/>
        <vertAlign val="baseline"/>
        <sz val="11"/>
        <color auto="1"/>
        <name val="B Titr"/>
        <charset val="178"/>
        <scheme val="none"/>
      </font>
      <fill>
        <patternFill patternType="solid">
          <fgColor indexed="64"/>
          <bgColor theme="6" tint="0.59999389629810485"/>
        </patternFill>
      </fill>
      <alignment horizontal="center" vertical="top" textRotation="0" wrapText="0" indent="0" justifyLastLine="0" shrinkToFit="0" readingOrder="0"/>
      <border diagonalUp="0" diagonalDown="0" outline="0">
        <left style="thin">
          <color indexed="64"/>
        </left>
        <right style="thin">
          <color indexed="64"/>
        </right>
        <top/>
        <bottom/>
      </border>
    </dxf>
  </dxfs>
  <tableStyles count="1" defaultTableStyle="TableStyleMedium9" defaultPivotStyle="PivotStyleLight16">
    <tableStyle name="Invisible" pivot="0" table="0" count="0" xr9:uid="{1A560DA6-B147-44D0-AACE-3B1D9173D19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92</xdr:row>
      <xdr:rowOff>0</xdr:rowOff>
    </xdr:from>
    <xdr:to>
      <xdr:col>4</xdr:col>
      <xdr:colOff>19050</xdr:colOff>
      <xdr:row>92</xdr:row>
      <xdr:rowOff>19050</xdr:rowOff>
    </xdr:to>
    <xdr:pic>
      <xdr:nvPicPr>
        <xdr:cNvPr id="2" name="Picture 1" descr="🔴">
          <a:extLst>
            <a:ext uri="{FF2B5EF4-FFF2-40B4-BE49-F238E27FC236}">
              <a16:creationId xmlns:a16="http://schemas.microsoft.com/office/drawing/2014/main" id="{9A43F752-AA88-9E4C-2255-9C2149A207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0877275" y="2443162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266</xdr:row>
      <xdr:rowOff>0</xdr:rowOff>
    </xdr:from>
    <xdr:to>
      <xdr:col>4</xdr:col>
      <xdr:colOff>19050</xdr:colOff>
      <xdr:row>266</xdr:row>
      <xdr:rowOff>19050</xdr:rowOff>
    </xdr:to>
    <xdr:pic>
      <xdr:nvPicPr>
        <xdr:cNvPr id="3" name="Picture 2" descr="⭕️">
          <a:extLst>
            <a:ext uri="{FF2B5EF4-FFF2-40B4-BE49-F238E27FC236}">
              <a16:creationId xmlns:a16="http://schemas.microsoft.com/office/drawing/2014/main" id="{E1028311-0521-D00E-0A7C-7DB37CC5ABA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0877275" y="62779275"/>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11</xdr:row>
      <xdr:rowOff>0</xdr:rowOff>
    </xdr:from>
    <xdr:to>
      <xdr:col>4</xdr:col>
      <xdr:colOff>304800</xdr:colOff>
      <xdr:row>12</xdr:row>
      <xdr:rowOff>66222</xdr:rowOff>
    </xdr:to>
    <xdr:sp macro="" textlink="">
      <xdr:nvSpPr>
        <xdr:cNvPr id="4" name="AutoShape 12" descr="🔴">
          <a:extLst>
            <a:ext uri="{FF2B5EF4-FFF2-40B4-BE49-F238E27FC236}">
              <a16:creationId xmlns:a16="http://schemas.microsoft.com/office/drawing/2014/main" id="{42A8396C-1107-4466-B4F3-40FCF18A1E3A}"/>
            </a:ext>
          </a:extLst>
        </xdr:cNvPr>
        <xdr:cNvSpPr>
          <a:spLocks noChangeAspect="1" noChangeArrowheads="1"/>
        </xdr:cNvSpPr>
      </xdr:nvSpPr>
      <xdr:spPr bwMode="auto">
        <a:xfrm>
          <a:off x="998934375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91</xdr:row>
      <xdr:rowOff>0</xdr:rowOff>
    </xdr:from>
    <xdr:to>
      <xdr:col>4</xdr:col>
      <xdr:colOff>304800</xdr:colOff>
      <xdr:row>92</xdr:row>
      <xdr:rowOff>66221</xdr:rowOff>
    </xdr:to>
    <xdr:sp macro="" textlink="">
      <xdr:nvSpPr>
        <xdr:cNvPr id="5" name="AutoShape 18" descr="📹">
          <a:extLst>
            <a:ext uri="{FF2B5EF4-FFF2-40B4-BE49-F238E27FC236}">
              <a16:creationId xmlns:a16="http://schemas.microsoft.com/office/drawing/2014/main" id="{1E3285F9-9497-43BC-A74F-726E35DFA9A9}"/>
            </a:ext>
          </a:extLst>
        </xdr:cNvPr>
        <xdr:cNvSpPr>
          <a:spLocks noChangeAspect="1" noChangeArrowheads="1"/>
        </xdr:cNvSpPr>
      </xdr:nvSpPr>
      <xdr:spPr bwMode="auto">
        <a:xfrm>
          <a:off x="9989343750" y="169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145</xdr:row>
      <xdr:rowOff>0</xdr:rowOff>
    </xdr:from>
    <xdr:to>
      <xdr:col>4</xdr:col>
      <xdr:colOff>304800</xdr:colOff>
      <xdr:row>146</xdr:row>
      <xdr:rowOff>66222</xdr:rowOff>
    </xdr:to>
    <xdr:sp macro="" textlink="">
      <xdr:nvSpPr>
        <xdr:cNvPr id="6" name="AutoShape 21" descr="🔸">
          <a:extLst>
            <a:ext uri="{FF2B5EF4-FFF2-40B4-BE49-F238E27FC236}">
              <a16:creationId xmlns:a16="http://schemas.microsoft.com/office/drawing/2014/main" id="{273B2AF0-BBE2-413E-8164-036E70AEC489}"/>
            </a:ext>
          </a:extLst>
        </xdr:cNvPr>
        <xdr:cNvSpPr>
          <a:spLocks noChangeAspect="1" noChangeArrowheads="1"/>
        </xdr:cNvSpPr>
      </xdr:nvSpPr>
      <xdr:spPr bwMode="auto">
        <a:xfrm>
          <a:off x="9989343750" y="2724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904875</xdr:colOff>
      <xdr:row>76</xdr:row>
      <xdr:rowOff>0</xdr:rowOff>
    </xdr:from>
    <xdr:to>
      <xdr:col>4</xdr:col>
      <xdr:colOff>228599</xdr:colOff>
      <xdr:row>77</xdr:row>
      <xdr:rowOff>66222</xdr:rowOff>
    </xdr:to>
    <xdr:sp macro="" textlink="">
      <xdr:nvSpPr>
        <xdr:cNvPr id="7" name="AutoShape 8" descr="🔹">
          <a:extLst>
            <a:ext uri="{FF2B5EF4-FFF2-40B4-BE49-F238E27FC236}">
              <a16:creationId xmlns:a16="http://schemas.microsoft.com/office/drawing/2014/main" id="{9B1020BD-CED4-4550-BB17-ABDC91CA2A11}"/>
            </a:ext>
          </a:extLst>
        </xdr:cNvPr>
        <xdr:cNvSpPr>
          <a:spLocks noChangeAspect="1" noChangeArrowheads="1"/>
        </xdr:cNvSpPr>
      </xdr:nvSpPr>
      <xdr:spPr bwMode="auto">
        <a:xfrm>
          <a:off x="9989353276" y="14097000"/>
          <a:ext cx="304799"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16</xdr:row>
      <xdr:rowOff>0</xdr:rowOff>
    </xdr:from>
    <xdr:to>
      <xdr:col>4</xdr:col>
      <xdr:colOff>304800</xdr:colOff>
      <xdr:row>17</xdr:row>
      <xdr:rowOff>66221</xdr:rowOff>
    </xdr:to>
    <xdr:sp macro="" textlink="">
      <xdr:nvSpPr>
        <xdr:cNvPr id="8" name="AutoShape 57" descr="📷">
          <a:extLst>
            <a:ext uri="{FF2B5EF4-FFF2-40B4-BE49-F238E27FC236}">
              <a16:creationId xmlns:a16="http://schemas.microsoft.com/office/drawing/2014/main" id="{8284BC17-CC3C-41CE-9771-12AA7A65319D}"/>
            </a:ext>
          </a:extLst>
        </xdr:cNvPr>
        <xdr:cNvSpPr>
          <a:spLocks noChangeAspect="1" noChangeArrowheads="1"/>
        </xdr:cNvSpPr>
      </xdr:nvSpPr>
      <xdr:spPr bwMode="auto">
        <a:xfrm>
          <a:off x="9989343750" y="26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114</xdr:row>
      <xdr:rowOff>0</xdr:rowOff>
    </xdr:from>
    <xdr:to>
      <xdr:col>4</xdr:col>
      <xdr:colOff>304800</xdr:colOff>
      <xdr:row>115</xdr:row>
      <xdr:rowOff>66221</xdr:rowOff>
    </xdr:to>
    <xdr:sp macro="" textlink="">
      <xdr:nvSpPr>
        <xdr:cNvPr id="9" name="AutoShape 67">
          <a:extLst>
            <a:ext uri="{FF2B5EF4-FFF2-40B4-BE49-F238E27FC236}">
              <a16:creationId xmlns:a16="http://schemas.microsoft.com/office/drawing/2014/main" id="{B14442C9-C169-4B07-A7EA-02524DCBC1E6}"/>
            </a:ext>
          </a:extLst>
        </xdr:cNvPr>
        <xdr:cNvSpPr>
          <a:spLocks noChangeAspect="1" noChangeArrowheads="1"/>
        </xdr:cNvSpPr>
      </xdr:nvSpPr>
      <xdr:spPr bwMode="auto">
        <a:xfrm>
          <a:off x="9989343750" y="2133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116</xdr:row>
      <xdr:rowOff>0</xdr:rowOff>
    </xdr:from>
    <xdr:to>
      <xdr:col>4</xdr:col>
      <xdr:colOff>304800</xdr:colOff>
      <xdr:row>117</xdr:row>
      <xdr:rowOff>66222</xdr:rowOff>
    </xdr:to>
    <xdr:sp macro="" textlink="">
      <xdr:nvSpPr>
        <xdr:cNvPr id="10" name="AutoShape 44" descr="🔺">
          <a:extLst>
            <a:ext uri="{FF2B5EF4-FFF2-40B4-BE49-F238E27FC236}">
              <a16:creationId xmlns:a16="http://schemas.microsoft.com/office/drawing/2014/main" id="{70B45659-1939-4D5D-89A9-B45A9C33EB9A}"/>
            </a:ext>
          </a:extLst>
        </xdr:cNvPr>
        <xdr:cNvSpPr>
          <a:spLocks noChangeAspect="1" noChangeArrowheads="1"/>
        </xdr:cNvSpPr>
      </xdr:nvSpPr>
      <xdr:spPr bwMode="auto">
        <a:xfrm>
          <a:off x="9989343750" y="217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117</xdr:row>
      <xdr:rowOff>0</xdr:rowOff>
    </xdr:from>
    <xdr:to>
      <xdr:col>4</xdr:col>
      <xdr:colOff>304800</xdr:colOff>
      <xdr:row>118</xdr:row>
      <xdr:rowOff>66221</xdr:rowOff>
    </xdr:to>
    <xdr:sp macro="" textlink="">
      <xdr:nvSpPr>
        <xdr:cNvPr id="11" name="AutoShape 97" descr="📹">
          <a:extLst>
            <a:ext uri="{FF2B5EF4-FFF2-40B4-BE49-F238E27FC236}">
              <a16:creationId xmlns:a16="http://schemas.microsoft.com/office/drawing/2014/main" id="{DD4FAB98-52D7-4EB0-8A9A-4CF213E41ECC}"/>
            </a:ext>
          </a:extLst>
        </xdr:cNvPr>
        <xdr:cNvSpPr>
          <a:spLocks noChangeAspect="1" noChangeArrowheads="1"/>
        </xdr:cNvSpPr>
      </xdr:nvSpPr>
      <xdr:spPr bwMode="auto">
        <a:xfrm>
          <a:off x="9989343750" y="219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132</xdr:row>
      <xdr:rowOff>0</xdr:rowOff>
    </xdr:from>
    <xdr:to>
      <xdr:col>4</xdr:col>
      <xdr:colOff>304800</xdr:colOff>
      <xdr:row>133</xdr:row>
      <xdr:rowOff>66221</xdr:rowOff>
    </xdr:to>
    <xdr:sp macro="" textlink="">
      <xdr:nvSpPr>
        <xdr:cNvPr id="12" name="AutoShape 114" descr="📌">
          <a:extLst>
            <a:ext uri="{FF2B5EF4-FFF2-40B4-BE49-F238E27FC236}">
              <a16:creationId xmlns:a16="http://schemas.microsoft.com/office/drawing/2014/main" id="{833D981D-4539-4F40-BE0A-AC7B99A08F42}"/>
            </a:ext>
          </a:extLst>
        </xdr:cNvPr>
        <xdr:cNvSpPr>
          <a:spLocks noChangeAspect="1" noChangeArrowheads="1"/>
        </xdr:cNvSpPr>
      </xdr:nvSpPr>
      <xdr:spPr bwMode="auto">
        <a:xfrm>
          <a:off x="9989343750" y="2476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133</xdr:row>
      <xdr:rowOff>0</xdr:rowOff>
    </xdr:from>
    <xdr:to>
      <xdr:col>4</xdr:col>
      <xdr:colOff>304800</xdr:colOff>
      <xdr:row>134</xdr:row>
      <xdr:rowOff>66222</xdr:rowOff>
    </xdr:to>
    <xdr:sp macro="" textlink="">
      <xdr:nvSpPr>
        <xdr:cNvPr id="13" name="AutoShape 116" descr="📌">
          <a:extLst>
            <a:ext uri="{FF2B5EF4-FFF2-40B4-BE49-F238E27FC236}">
              <a16:creationId xmlns:a16="http://schemas.microsoft.com/office/drawing/2014/main" id="{A1D7A003-2737-4465-8F52-36F902CEE331}"/>
            </a:ext>
          </a:extLst>
        </xdr:cNvPr>
        <xdr:cNvSpPr>
          <a:spLocks noChangeAspect="1" noChangeArrowheads="1"/>
        </xdr:cNvSpPr>
      </xdr:nvSpPr>
      <xdr:spPr bwMode="auto">
        <a:xfrm>
          <a:off x="9989343750" y="249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23</xdr:row>
      <xdr:rowOff>0</xdr:rowOff>
    </xdr:from>
    <xdr:to>
      <xdr:col>4</xdr:col>
      <xdr:colOff>304800</xdr:colOff>
      <xdr:row>24</xdr:row>
      <xdr:rowOff>66221</xdr:rowOff>
    </xdr:to>
    <xdr:sp macro="" textlink="">
      <xdr:nvSpPr>
        <xdr:cNvPr id="14" name="AutoShape 119" descr="📌">
          <a:extLst>
            <a:ext uri="{FF2B5EF4-FFF2-40B4-BE49-F238E27FC236}">
              <a16:creationId xmlns:a16="http://schemas.microsoft.com/office/drawing/2014/main" id="{5879A474-46E1-4DE4-8C22-C877DE147E9B}"/>
            </a:ext>
          </a:extLst>
        </xdr:cNvPr>
        <xdr:cNvSpPr>
          <a:spLocks noChangeAspect="1" noChangeArrowheads="1"/>
        </xdr:cNvSpPr>
      </xdr:nvSpPr>
      <xdr:spPr bwMode="auto">
        <a:xfrm>
          <a:off x="9989343750" y="40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96</xdr:row>
      <xdr:rowOff>0</xdr:rowOff>
    </xdr:from>
    <xdr:to>
      <xdr:col>4</xdr:col>
      <xdr:colOff>304800</xdr:colOff>
      <xdr:row>97</xdr:row>
      <xdr:rowOff>66221</xdr:rowOff>
    </xdr:to>
    <xdr:sp macro="" textlink="">
      <xdr:nvSpPr>
        <xdr:cNvPr id="15" name="AutoShape 126" descr="👈">
          <a:extLst>
            <a:ext uri="{FF2B5EF4-FFF2-40B4-BE49-F238E27FC236}">
              <a16:creationId xmlns:a16="http://schemas.microsoft.com/office/drawing/2014/main" id="{070AC9E2-A4D1-404A-963D-ACE20875F97F}"/>
            </a:ext>
          </a:extLst>
        </xdr:cNvPr>
        <xdr:cNvSpPr>
          <a:spLocks noChangeAspect="1" noChangeArrowheads="1"/>
        </xdr:cNvSpPr>
      </xdr:nvSpPr>
      <xdr:spPr bwMode="auto">
        <a:xfrm>
          <a:off x="9989343750" y="1790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56</xdr:row>
      <xdr:rowOff>0</xdr:rowOff>
    </xdr:from>
    <xdr:to>
      <xdr:col>4</xdr:col>
      <xdr:colOff>304800</xdr:colOff>
      <xdr:row>57</xdr:row>
      <xdr:rowOff>66221</xdr:rowOff>
    </xdr:to>
    <xdr:sp macro="" textlink="">
      <xdr:nvSpPr>
        <xdr:cNvPr id="16" name="AutoShape 127" descr="👈">
          <a:extLst>
            <a:ext uri="{FF2B5EF4-FFF2-40B4-BE49-F238E27FC236}">
              <a16:creationId xmlns:a16="http://schemas.microsoft.com/office/drawing/2014/main" id="{700E7C82-5B73-4CC7-86C4-10AD1B9FC292}"/>
            </a:ext>
          </a:extLst>
        </xdr:cNvPr>
        <xdr:cNvSpPr>
          <a:spLocks noChangeAspect="1" noChangeArrowheads="1"/>
        </xdr:cNvSpPr>
      </xdr:nvSpPr>
      <xdr:spPr bwMode="auto">
        <a:xfrm>
          <a:off x="9989343750" y="1028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24</xdr:row>
      <xdr:rowOff>0</xdr:rowOff>
    </xdr:from>
    <xdr:to>
      <xdr:col>4</xdr:col>
      <xdr:colOff>304800</xdr:colOff>
      <xdr:row>25</xdr:row>
      <xdr:rowOff>66221</xdr:rowOff>
    </xdr:to>
    <xdr:sp macro="" textlink="">
      <xdr:nvSpPr>
        <xdr:cNvPr id="17" name="AutoShape 1" descr="✅">
          <a:extLst>
            <a:ext uri="{FF2B5EF4-FFF2-40B4-BE49-F238E27FC236}">
              <a16:creationId xmlns:a16="http://schemas.microsoft.com/office/drawing/2014/main" id="{BBC3202A-BDA2-432A-9CCA-BA98FF51F651}"/>
            </a:ext>
          </a:extLst>
        </xdr:cNvPr>
        <xdr:cNvSpPr>
          <a:spLocks noChangeAspect="1" noChangeArrowheads="1"/>
        </xdr:cNvSpPr>
      </xdr:nvSpPr>
      <xdr:spPr bwMode="auto">
        <a:xfrm>
          <a:off x="9989343750" y="419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135</xdr:row>
      <xdr:rowOff>0</xdr:rowOff>
    </xdr:from>
    <xdr:to>
      <xdr:col>4</xdr:col>
      <xdr:colOff>304800</xdr:colOff>
      <xdr:row>136</xdr:row>
      <xdr:rowOff>66222</xdr:rowOff>
    </xdr:to>
    <xdr:sp macro="" textlink="">
      <xdr:nvSpPr>
        <xdr:cNvPr id="18" name="AutoShape 4" descr="🔹">
          <a:extLst>
            <a:ext uri="{FF2B5EF4-FFF2-40B4-BE49-F238E27FC236}">
              <a16:creationId xmlns:a16="http://schemas.microsoft.com/office/drawing/2014/main" id="{8BD8D36F-647E-4943-83AE-B30064244BAD}"/>
            </a:ext>
          </a:extLst>
        </xdr:cNvPr>
        <xdr:cNvSpPr>
          <a:spLocks noChangeAspect="1" noChangeArrowheads="1"/>
        </xdr:cNvSpPr>
      </xdr:nvSpPr>
      <xdr:spPr bwMode="auto">
        <a:xfrm>
          <a:off x="9989343750" y="2533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25</xdr:row>
      <xdr:rowOff>0</xdr:rowOff>
    </xdr:from>
    <xdr:to>
      <xdr:col>4</xdr:col>
      <xdr:colOff>304800</xdr:colOff>
      <xdr:row>26</xdr:row>
      <xdr:rowOff>66222</xdr:rowOff>
    </xdr:to>
    <xdr:sp macro="" textlink="">
      <xdr:nvSpPr>
        <xdr:cNvPr id="19" name="AutoShape 14" descr="📌">
          <a:extLst>
            <a:ext uri="{FF2B5EF4-FFF2-40B4-BE49-F238E27FC236}">
              <a16:creationId xmlns:a16="http://schemas.microsoft.com/office/drawing/2014/main" id="{9A60AE96-5214-4EF8-91FE-AEC7DB00A29E}"/>
            </a:ext>
          </a:extLst>
        </xdr:cNvPr>
        <xdr:cNvSpPr>
          <a:spLocks noChangeAspect="1" noChangeArrowheads="1"/>
        </xdr:cNvSpPr>
      </xdr:nvSpPr>
      <xdr:spPr bwMode="auto">
        <a:xfrm>
          <a:off x="9989343750" y="438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26</xdr:row>
      <xdr:rowOff>0</xdr:rowOff>
    </xdr:from>
    <xdr:to>
      <xdr:col>4</xdr:col>
      <xdr:colOff>304800</xdr:colOff>
      <xdr:row>27</xdr:row>
      <xdr:rowOff>66221</xdr:rowOff>
    </xdr:to>
    <xdr:sp macro="" textlink="">
      <xdr:nvSpPr>
        <xdr:cNvPr id="20" name="AutoShape 15" descr="📌">
          <a:extLst>
            <a:ext uri="{FF2B5EF4-FFF2-40B4-BE49-F238E27FC236}">
              <a16:creationId xmlns:a16="http://schemas.microsoft.com/office/drawing/2014/main" id="{E042307C-5E6B-49D9-85D1-9C5F016F48E1}"/>
            </a:ext>
          </a:extLst>
        </xdr:cNvPr>
        <xdr:cNvSpPr>
          <a:spLocks noChangeAspect="1" noChangeArrowheads="1"/>
        </xdr:cNvSpPr>
      </xdr:nvSpPr>
      <xdr:spPr bwMode="auto">
        <a:xfrm>
          <a:off x="9989343750" y="45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79</xdr:row>
      <xdr:rowOff>0</xdr:rowOff>
    </xdr:from>
    <xdr:to>
      <xdr:col>4</xdr:col>
      <xdr:colOff>304800</xdr:colOff>
      <xdr:row>80</xdr:row>
      <xdr:rowOff>66221</xdr:rowOff>
    </xdr:to>
    <xdr:sp macro="" textlink="">
      <xdr:nvSpPr>
        <xdr:cNvPr id="21" name="AutoShape 17" descr="📌">
          <a:extLst>
            <a:ext uri="{FF2B5EF4-FFF2-40B4-BE49-F238E27FC236}">
              <a16:creationId xmlns:a16="http://schemas.microsoft.com/office/drawing/2014/main" id="{E65B0503-1139-4F20-A7AC-5093E0B7BA83}"/>
            </a:ext>
          </a:extLst>
        </xdr:cNvPr>
        <xdr:cNvSpPr>
          <a:spLocks noChangeAspect="1" noChangeArrowheads="1"/>
        </xdr:cNvSpPr>
      </xdr:nvSpPr>
      <xdr:spPr bwMode="auto">
        <a:xfrm>
          <a:off x="9989343750" y="1466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156</xdr:row>
      <xdr:rowOff>0</xdr:rowOff>
    </xdr:from>
    <xdr:to>
      <xdr:col>4</xdr:col>
      <xdr:colOff>304800</xdr:colOff>
      <xdr:row>157</xdr:row>
      <xdr:rowOff>66222</xdr:rowOff>
    </xdr:to>
    <xdr:sp macro="" textlink="">
      <xdr:nvSpPr>
        <xdr:cNvPr id="22" name="AutoShape 19" descr="📌">
          <a:extLst>
            <a:ext uri="{FF2B5EF4-FFF2-40B4-BE49-F238E27FC236}">
              <a16:creationId xmlns:a16="http://schemas.microsoft.com/office/drawing/2014/main" id="{6A76E24E-18E2-410F-BF82-1EEAEC0F57A9}"/>
            </a:ext>
          </a:extLst>
        </xdr:cNvPr>
        <xdr:cNvSpPr>
          <a:spLocks noChangeAspect="1" noChangeArrowheads="1"/>
        </xdr:cNvSpPr>
      </xdr:nvSpPr>
      <xdr:spPr bwMode="auto">
        <a:xfrm>
          <a:off x="9989343750" y="293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176</xdr:row>
      <xdr:rowOff>0</xdr:rowOff>
    </xdr:from>
    <xdr:to>
      <xdr:col>4</xdr:col>
      <xdr:colOff>304800</xdr:colOff>
      <xdr:row>177</xdr:row>
      <xdr:rowOff>57150</xdr:rowOff>
    </xdr:to>
    <xdr:sp macro="" textlink="">
      <xdr:nvSpPr>
        <xdr:cNvPr id="23" name="AutoShape 68" descr="🎥">
          <a:extLst>
            <a:ext uri="{FF2B5EF4-FFF2-40B4-BE49-F238E27FC236}">
              <a16:creationId xmlns:a16="http://schemas.microsoft.com/office/drawing/2014/main" id="{0C841E85-653D-41B6-8F1B-E4AE166FB493}"/>
            </a:ext>
          </a:extLst>
        </xdr:cNvPr>
        <xdr:cNvSpPr>
          <a:spLocks noChangeAspect="1" noChangeArrowheads="1"/>
        </xdr:cNvSpPr>
      </xdr:nvSpPr>
      <xdr:spPr bwMode="auto">
        <a:xfrm>
          <a:off x="9989343750" y="3314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119</xdr:row>
      <xdr:rowOff>0</xdr:rowOff>
    </xdr:from>
    <xdr:to>
      <xdr:col>4</xdr:col>
      <xdr:colOff>304800</xdr:colOff>
      <xdr:row>120</xdr:row>
      <xdr:rowOff>63681</xdr:rowOff>
    </xdr:to>
    <xdr:sp macro="" textlink="">
      <xdr:nvSpPr>
        <xdr:cNvPr id="24" name="AutoShape 15" descr="🔹">
          <a:extLst>
            <a:ext uri="{FF2B5EF4-FFF2-40B4-BE49-F238E27FC236}">
              <a16:creationId xmlns:a16="http://schemas.microsoft.com/office/drawing/2014/main" id="{931D275C-5FE7-4FA4-9D67-5F906CCD7113}"/>
            </a:ext>
          </a:extLst>
        </xdr:cNvPr>
        <xdr:cNvSpPr>
          <a:spLocks noChangeAspect="1" noChangeArrowheads="1"/>
        </xdr:cNvSpPr>
      </xdr:nvSpPr>
      <xdr:spPr bwMode="auto">
        <a:xfrm>
          <a:off x="9989343750" y="222885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40</xdr:row>
      <xdr:rowOff>0</xdr:rowOff>
    </xdr:from>
    <xdr:to>
      <xdr:col>4</xdr:col>
      <xdr:colOff>304800</xdr:colOff>
      <xdr:row>41</xdr:row>
      <xdr:rowOff>63681</xdr:rowOff>
    </xdr:to>
    <xdr:sp macro="" textlink="">
      <xdr:nvSpPr>
        <xdr:cNvPr id="25" name="AutoShape 41" descr="📌">
          <a:extLst>
            <a:ext uri="{FF2B5EF4-FFF2-40B4-BE49-F238E27FC236}">
              <a16:creationId xmlns:a16="http://schemas.microsoft.com/office/drawing/2014/main" id="{C07F7489-1BF9-49B0-B0AA-C5FCBDF3E534}"/>
            </a:ext>
          </a:extLst>
        </xdr:cNvPr>
        <xdr:cNvSpPr>
          <a:spLocks noChangeAspect="1" noChangeArrowheads="1"/>
        </xdr:cNvSpPr>
      </xdr:nvSpPr>
      <xdr:spPr bwMode="auto">
        <a:xfrm>
          <a:off x="9989343750" y="72390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148</xdr:row>
      <xdr:rowOff>0</xdr:rowOff>
    </xdr:from>
    <xdr:to>
      <xdr:col>4</xdr:col>
      <xdr:colOff>304800</xdr:colOff>
      <xdr:row>149</xdr:row>
      <xdr:rowOff>63681</xdr:rowOff>
    </xdr:to>
    <xdr:sp macro="" textlink="">
      <xdr:nvSpPr>
        <xdr:cNvPr id="26" name="AutoShape 58" descr="📌">
          <a:extLst>
            <a:ext uri="{FF2B5EF4-FFF2-40B4-BE49-F238E27FC236}">
              <a16:creationId xmlns:a16="http://schemas.microsoft.com/office/drawing/2014/main" id="{9B2D1536-E91C-41A6-A564-EFDF8D1FA3D8}"/>
            </a:ext>
          </a:extLst>
        </xdr:cNvPr>
        <xdr:cNvSpPr>
          <a:spLocks noChangeAspect="1" noChangeArrowheads="1"/>
        </xdr:cNvSpPr>
      </xdr:nvSpPr>
      <xdr:spPr bwMode="auto">
        <a:xfrm>
          <a:off x="9989343750" y="278130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99</xdr:row>
      <xdr:rowOff>0</xdr:rowOff>
    </xdr:from>
    <xdr:to>
      <xdr:col>4</xdr:col>
      <xdr:colOff>304800</xdr:colOff>
      <xdr:row>100</xdr:row>
      <xdr:rowOff>63682</xdr:rowOff>
    </xdr:to>
    <xdr:sp macro="" textlink="">
      <xdr:nvSpPr>
        <xdr:cNvPr id="27" name="AutoShape 72">
          <a:extLst>
            <a:ext uri="{FF2B5EF4-FFF2-40B4-BE49-F238E27FC236}">
              <a16:creationId xmlns:a16="http://schemas.microsoft.com/office/drawing/2014/main" id="{1147AA59-FE22-4A51-B8D4-E27D775C32A9}"/>
            </a:ext>
          </a:extLst>
        </xdr:cNvPr>
        <xdr:cNvSpPr>
          <a:spLocks noChangeAspect="1" noChangeArrowheads="1"/>
        </xdr:cNvSpPr>
      </xdr:nvSpPr>
      <xdr:spPr bwMode="auto">
        <a:xfrm>
          <a:off x="9989343750" y="184785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181</xdr:row>
      <xdr:rowOff>0</xdr:rowOff>
    </xdr:from>
    <xdr:to>
      <xdr:col>4</xdr:col>
      <xdr:colOff>304800</xdr:colOff>
      <xdr:row>182</xdr:row>
      <xdr:rowOff>54610</xdr:rowOff>
    </xdr:to>
    <xdr:sp macro="" textlink="">
      <xdr:nvSpPr>
        <xdr:cNvPr id="28" name="AutoShape 116" descr="🔸">
          <a:extLst>
            <a:ext uri="{FF2B5EF4-FFF2-40B4-BE49-F238E27FC236}">
              <a16:creationId xmlns:a16="http://schemas.microsoft.com/office/drawing/2014/main" id="{F927B5A5-82F6-470A-932E-F36FCEB782D4}"/>
            </a:ext>
          </a:extLst>
        </xdr:cNvPr>
        <xdr:cNvSpPr>
          <a:spLocks noChangeAspect="1" noChangeArrowheads="1"/>
        </xdr:cNvSpPr>
      </xdr:nvSpPr>
      <xdr:spPr bwMode="auto">
        <a:xfrm>
          <a:off x="9989343750" y="340995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33</xdr:row>
      <xdr:rowOff>0</xdr:rowOff>
    </xdr:from>
    <xdr:to>
      <xdr:col>4</xdr:col>
      <xdr:colOff>304800</xdr:colOff>
      <xdr:row>34</xdr:row>
      <xdr:rowOff>63681</xdr:rowOff>
    </xdr:to>
    <xdr:sp macro="" textlink="">
      <xdr:nvSpPr>
        <xdr:cNvPr id="29" name="AutoShape 14" descr="✅">
          <a:extLst>
            <a:ext uri="{FF2B5EF4-FFF2-40B4-BE49-F238E27FC236}">
              <a16:creationId xmlns:a16="http://schemas.microsoft.com/office/drawing/2014/main" id="{7FC143FF-190E-439E-AB82-F1BF01E81A88}"/>
            </a:ext>
          </a:extLst>
        </xdr:cNvPr>
        <xdr:cNvSpPr>
          <a:spLocks noChangeAspect="1" noChangeArrowheads="1"/>
        </xdr:cNvSpPr>
      </xdr:nvSpPr>
      <xdr:spPr bwMode="auto">
        <a:xfrm>
          <a:off x="9989343750" y="59055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33</xdr:row>
      <xdr:rowOff>0</xdr:rowOff>
    </xdr:from>
    <xdr:to>
      <xdr:col>4</xdr:col>
      <xdr:colOff>304800</xdr:colOff>
      <xdr:row>34</xdr:row>
      <xdr:rowOff>63681</xdr:rowOff>
    </xdr:to>
    <xdr:sp macro="" textlink="">
      <xdr:nvSpPr>
        <xdr:cNvPr id="30" name="AutoShape 17" descr="✅">
          <a:extLst>
            <a:ext uri="{FF2B5EF4-FFF2-40B4-BE49-F238E27FC236}">
              <a16:creationId xmlns:a16="http://schemas.microsoft.com/office/drawing/2014/main" id="{B49DC7D6-C695-42FC-A5B1-34AC9E6159B7}"/>
            </a:ext>
          </a:extLst>
        </xdr:cNvPr>
        <xdr:cNvSpPr>
          <a:spLocks noChangeAspect="1" noChangeArrowheads="1"/>
        </xdr:cNvSpPr>
      </xdr:nvSpPr>
      <xdr:spPr bwMode="auto">
        <a:xfrm>
          <a:off x="9989343750" y="59055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149</xdr:row>
      <xdr:rowOff>0</xdr:rowOff>
    </xdr:from>
    <xdr:to>
      <xdr:col>4</xdr:col>
      <xdr:colOff>304800</xdr:colOff>
      <xdr:row>150</xdr:row>
      <xdr:rowOff>63682</xdr:rowOff>
    </xdr:to>
    <xdr:sp macro="" textlink="">
      <xdr:nvSpPr>
        <xdr:cNvPr id="31" name="AutoShape 24">
          <a:extLst>
            <a:ext uri="{FF2B5EF4-FFF2-40B4-BE49-F238E27FC236}">
              <a16:creationId xmlns:a16="http://schemas.microsoft.com/office/drawing/2014/main" id="{BA75441F-88C2-47E7-9B7C-459CF00B3B9B}"/>
            </a:ext>
          </a:extLst>
        </xdr:cNvPr>
        <xdr:cNvSpPr>
          <a:spLocks noChangeAspect="1" noChangeArrowheads="1"/>
        </xdr:cNvSpPr>
      </xdr:nvSpPr>
      <xdr:spPr bwMode="auto">
        <a:xfrm>
          <a:off x="9989343750" y="280035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149</xdr:row>
      <xdr:rowOff>0</xdr:rowOff>
    </xdr:from>
    <xdr:to>
      <xdr:col>4</xdr:col>
      <xdr:colOff>304800</xdr:colOff>
      <xdr:row>150</xdr:row>
      <xdr:rowOff>63682</xdr:rowOff>
    </xdr:to>
    <xdr:sp macro="" textlink="">
      <xdr:nvSpPr>
        <xdr:cNvPr id="32" name="AutoShape 28" descr="🔹">
          <a:extLst>
            <a:ext uri="{FF2B5EF4-FFF2-40B4-BE49-F238E27FC236}">
              <a16:creationId xmlns:a16="http://schemas.microsoft.com/office/drawing/2014/main" id="{4CFA9883-2E23-4EF3-B79F-766305E6F764}"/>
            </a:ext>
          </a:extLst>
        </xdr:cNvPr>
        <xdr:cNvSpPr>
          <a:spLocks noChangeAspect="1" noChangeArrowheads="1"/>
        </xdr:cNvSpPr>
      </xdr:nvSpPr>
      <xdr:spPr bwMode="auto">
        <a:xfrm>
          <a:off x="9989343750" y="280035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188</xdr:row>
      <xdr:rowOff>0</xdr:rowOff>
    </xdr:from>
    <xdr:to>
      <xdr:col>4</xdr:col>
      <xdr:colOff>304800</xdr:colOff>
      <xdr:row>189</xdr:row>
      <xdr:rowOff>54610</xdr:rowOff>
    </xdr:to>
    <xdr:sp macro="" textlink="">
      <xdr:nvSpPr>
        <xdr:cNvPr id="33" name="AutoShape 64">
          <a:extLst>
            <a:ext uri="{FF2B5EF4-FFF2-40B4-BE49-F238E27FC236}">
              <a16:creationId xmlns:a16="http://schemas.microsoft.com/office/drawing/2014/main" id="{095B5853-FBEB-4A8E-9EC7-A2D84BA95563}"/>
            </a:ext>
          </a:extLst>
        </xdr:cNvPr>
        <xdr:cNvSpPr>
          <a:spLocks noChangeAspect="1" noChangeArrowheads="1"/>
        </xdr:cNvSpPr>
      </xdr:nvSpPr>
      <xdr:spPr bwMode="auto">
        <a:xfrm>
          <a:off x="9989343750" y="354330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189</xdr:row>
      <xdr:rowOff>0</xdr:rowOff>
    </xdr:from>
    <xdr:to>
      <xdr:col>4</xdr:col>
      <xdr:colOff>304800</xdr:colOff>
      <xdr:row>190</xdr:row>
      <xdr:rowOff>54610</xdr:rowOff>
    </xdr:to>
    <xdr:sp macro="" textlink="">
      <xdr:nvSpPr>
        <xdr:cNvPr id="34" name="AutoShape 71">
          <a:extLst>
            <a:ext uri="{FF2B5EF4-FFF2-40B4-BE49-F238E27FC236}">
              <a16:creationId xmlns:a16="http://schemas.microsoft.com/office/drawing/2014/main" id="{48274D7F-F17C-4E45-B8CE-2A9732F9E4DE}"/>
            </a:ext>
          </a:extLst>
        </xdr:cNvPr>
        <xdr:cNvSpPr>
          <a:spLocks noChangeAspect="1" noChangeArrowheads="1"/>
        </xdr:cNvSpPr>
      </xdr:nvSpPr>
      <xdr:spPr bwMode="auto">
        <a:xfrm>
          <a:off x="9989343750" y="356235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150</xdr:row>
      <xdr:rowOff>0</xdr:rowOff>
    </xdr:from>
    <xdr:to>
      <xdr:col>4</xdr:col>
      <xdr:colOff>304800</xdr:colOff>
      <xdr:row>151</xdr:row>
      <xdr:rowOff>63681</xdr:rowOff>
    </xdr:to>
    <xdr:sp macro="" textlink="">
      <xdr:nvSpPr>
        <xdr:cNvPr id="35" name="AutoShape 123">
          <a:extLst>
            <a:ext uri="{FF2B5EF4-FFF2-40B4-BE49-F238E27FC236}">
              <a16:creationId xmlns:a16="http://schemas.microsoft.com/office/drawing/2014/main" id="{D902078E-719D-4317-8E1E-CA32C6225F73}"/>
            </a:ext>
          </a:extLst>
        </xdr:cNvPr>
        <xdr:cNvSpPr>
          <a:spLocks noChangeAspect="1" noChangeArrowheads="1"/>
        </xdr:cNvSpPr>
      </xdr:nvSpPr>
      <xdr:spPr bwMode="auto">
        <a:xfrm>
          <a:off x="9989343750" y="281940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64</xdr:row>
      <xdr:rowOff>0</xdr:rowOff>
    </xdr:from>
    <xdr:to>
      <xdr:col>4</xdr:col>
      <xdr:colOff>304800</xdr:colOff>
      <xdr:row>65</xdr:row>
      <xdr:rowOff>63682</xdr:rowOff>
    </xdr:to>
    <xdr:sp macro="" textlink="">
      <xdr:nvSpPr>
        <xdr:cNvPr id="36" name="AutoShape 41">
          <a:extLst>
            <a:ext uri="{FF2B5EF4-FFF2-40B4-BE49-F238E27FC236}">
              <a16:creationId xmlns:a16="http://schemas.microsoft.com/office/drawing/2014/main" id="{0B4C0486-7137-489C-92BC-C50856858A64}"/>
            </a:ext>
          </a:extLst>
        </xdr:cNvPr>
        <xdr:cNvSpPr>
          <a:spLocks noChangeAspect="1" noChangeArrowheads="1"/>
        </xdr:cNvSpPr>
      </xdr:nvSpPr>
      <xdr:spPr bwMode="auto">
        <a:xfrm>
          <a:off x="9989343750" y="118110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83</xdr:row>
      <xdr:rowOff>0</xdr:rowOff>
    </xdr:from>
    <xdr:to>
      <xdr:col>4</xdr:col>
      <xdr:colOff>304800</xdr:colOff>
      <xdr:row>84</xdr:row>
      <xdr:rowOff>63682</xdr:rowOff>
    </xdr:to>
    <xdr:sp macro="" textlink="">
      <xdr:nvSpPr>
        <xdr:cNvPr id="37" name="AutoShape 44" descr="🎥">
          <a:extLst>
            <a:ext uri="{FF2B5EF4-FFF2-40B4-BE49-F238E27FC236}">
              <a16:creationId xmlns:a16="http://schemas.microsoft.com/office/drawing/2014/main" id="{D0CB2A75-BD47-420C-885C-4AD080782FE5}"/>
            </a:ext>
          </a:extLst>
        </xdr:cNvPr>
        <xdr:cNvSpPr>
          <a:spLocks noChangeAspect="1" noChangeArrowheads="1"/>
        </xdr:cNvSpPr>
      </xdr:nvSpPr>
      <xdr:spPr bwMode="auto">
        <a:xfrm>
          <a:off x="9989343750" y="154305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64</xdr:row>
      <xdr:rowOff>0</xdr:rowOff>
    </xdr:from>
    <xdr:to>
      <xdr:col>4</xdr:col>
      <xdr:colOff>304800</xdr:colOff>
      <xdr:row>65</xdr:row>
      <xdr:rowOff>63682</xdr:rowOff>
    </xdr:to>
    <xdr:sp macro="" textlink="">
      <xdr:nvSpPr>
        <xdr:cNvPr id="38" name="AutoShape 45" descr="🎥">
          <a:extLst>
            <a:ext uri="{FF2B5EF4-FFF2-40B4-BE49-F238E27FC236}">
              <a16:creationId xmlns:a16="http://schemas.microsoft.com/office/drawing/2014/main" id="{A1CB4295-CE94-40ED-8935-C046E1B174A3}"/>
            </a:ext>
          </a:extLst>
        </xdr:cNvPr>
        <xdr:cNvSpPr>
          <a:spLocks noChangeAspect="1" noChangeArrowheads="1"/>
        </xdr:cNvSpPr>
      </xdr:nvSpPr>
      <xdr:spPr bwMode="auto">
        <a:xfrm>
          <a:off x="9989343750" y="118110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66</xdr:row>
      <xdr:rowOff>0</xdr:rowOff>
    </xdr:from>
    <xdr:to>
      <xdr:col>4</xdr:col>
      <xdr:colOff>304800</xdr:colOff>
      <xdr:row>67</xdr:row>
      <xdr:rowOff>63681</xdr:rowOff>
    </xdr:to>
    <xdr:sp macro="" textlink="">
      <xdr:nvSpPr>
        <xdr:cNvPr id="39" name="AutoShape 131">
          <a:extLst>
            <a:ext uri="{FF2B5EF4-FFF2-40B4-BE49-F238E27FC236}">
              <a16:creationId xmlns:a16="http://schemas.microsoft.com/office/drawing/2014/main" id="{17B08B22-2F75-44EB-9E9B-5F4B0F11BA13}"/>
            </a:ext>
          </a:extLst>
        </xdr:cNvPr>
        <xdr:cNvSpPr>
          <a:spLocks noChangeAspect="1" noChangeArrowheads="1"/>
        </xdr:cNvSpPr>
      </xdr:nvSpPr>
      <xdr:spPr bwMode="auto">
        <a:xfrm>
          <a:off x="9989343750" y="121920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126</xdr:row>
      <xdr:rowOff>0</xdr:rowOff>
    </xdr:from>
    <xdr:to>
      <xdr:col>4</xdr:col>
      <xdr:colOff>304800</xdr:colOff>
      <xdr:row>127</xdr:row>
      <xdr:rowOff>63681</xdr:rowOff>
    </xdr:to>
    <xdr:sp macro="" textlink="">
      <xdr:nvSpPr>
        <xdr:cNvPr id="40" name="AutoShape 24">
          <a:extLst>
            <a:ext uri="{FF2B5EF4-FFF2-40B4-BE49-F238E27FC236}">
              <a16:creationId xmlns:a16="http://schemas.microsoft.com/office/drawing/2014/main" id="{DF500EF8-E03F-4FBD-AFBF-F9E603EFAA03}"/>
            </a:ext>
          </a:extLst>
        </xdr:cNvPr>
        <xdr:cNvSpPr>
          <a:spLocks noChangeAspect="1" noChangeArrowheads="1"/>
        </xdr:cNvSpPr>
      </xdr:nvSpPr>
      <xdr:spPr bwMode="auto">
        <a:xfrm>
          <a:off x="9989343750" y="236220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140</xdr:row>
      <xdr:rowOff>0</xdr:rowOff>
    </xdr:from>
    <xdr:to>
      <xdr:col>4</xdr:col>
      <xdr:colOff>304800</xdr:colOff>
      <xdr:row>141</xdr:row>
      <xdr:rowOff>62956</xdr:rowOff>
    </xdr:to>
    <xdr:sp macro="" textlink="">
      <xdr:nvSpPr>
        <xdr:cNvPr id="41" name="AutoShape 40">
          <a:extLst>
            <a:ext uri="{FF2B5EF4-FFF2-40B4-BE49-F238E27FC236}">
              <a16:creationId xmlns:a16="http://schemas.microsoft.com/office/drawing/2014/main" id="{CF3EB8F0-F485-424A-9448-8D8D75877E97}"/>
            </a:ext>
          </a:extLst>
        </xdr:cNvPr>
        <xdr:cNvSpPr>
          <a:spLocks noChangeAspect="1" noChangeArrowheads="1"/>
        </xdr:cNvSpPr>
      </xdr:nvSpPr>
      <xdr:spPr bwMode="auto">
        <a:xfrm>
          <a:off x="9989343750" y="26289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84</xdr:row>
      <xdr:rowOff>0</xdr:rowOff>
    </xdr:from>
    <xdr:to>
      <xdr:col>4</xdr:col>
      <xdr:colOff>304800</xdr:colOff>
      <xdr:row>85</xdr:row>
      <xdr:rowOff>62955</xdr:rowOff>
    </xdr:to>
    <xdr:sp macro="" textlink="">
      <xdr:nvSpPr>
        <xdr:cNvPr id="42" name="AutoShape 57">
          <a:extLst>
            <a:ext uri="{FF2B5EF4-FFF2-40B4-BE49-F238E27FC236}">
              <a16:creationId xmlns:a16="http://schemas.microsoft.com/office/drawing/2014/main" id="{1C2B42C9-F237-4111-96F8-39AD538550C8}"/>
            </a:ext>
          </a:extLst>
        </xdr:cNvPr>
        <xdr:cNvSpPr>
          <a:spLocks noChangeAspect="1" noChangeArrowheads="1"/>
        </xdr:cNvSpPr>
      </xdr:nvSpPr>
      <xdr:spPr bwMode="auto">
        <a:xfrm>
          <a:off x="9989343750" y="1562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84</xdr:row>
      <xdr:rowOff>0</xdr:rowOff>
    </xdr:from>
    <xdr:to>
      <xdr:col>4</xdr:col>
      <xdr:colOff>304800</xdr:colOff>
      <xdr:row>85</xdr:row>
      <xdr:rowOff>62955</xdr:rowOff>
    </xdr:to>
    <xdr:sp macro="" textlink="">
      <xdr:nvSpPr>
        <xdr:cNvPr id="43" name="AutoShape 62" descr="🇮🇷">
          <a:extLst>
            <a:ext uri="{FF2B5EF4-FFF2-40B4-BE49-F238E27FC236}">
              <a16:creationId xmlns:a16="http://schemas.microsoft.com/office/drawing/2014/main" id="{88AB76EE-C073-46FD-AFA0-A91EEA72C078}"/>
            </a:ext>
          </a:extLst>
        </xdr:cNvPr>
        <xdr:cNvSpPr>
          <a:spLocks noChangeAspect="1" noChangeArrowheads="1"/>
        </xdr:cNvSpPr>
      </xdr:nvSpPr>
      <xdr:spPr bwMode="auto">
        <a:xfrm>
          <a:off x="9989343750" y="1562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314325</xdr:colOff>
      <xdr:row>84</xdr:row>
      <xdr:rowOff>0</xdr:rowOff>
    </xdr:from>
    <xdr:to>
      <xdr:col>4</xdr:col>
      <xdr:colOff>628650</xdr:colOff>
      <xdr:row>85</xdr:row>
      <xdr:rowOff>62955</xdr:rowOff>
    </xdr:to>
    <xdr:sp macro="" textlink="">
      <xdr:nvSpPr>
        <xdr:cNvPr id="44" name="AutoShape 63" descr="🇮🇶">
          <a:extLst>
            <a:ext uri="{FF2B5EF4-FFF2-40B4-BE49-F238E27FC236}">
              <a16:creationId xmlns:a16="http://schemas.microsoft.com/office/drawing/2014/main" id="{DAE8EA79-D047-4C63-A616-74DBB6058E08}"/>
            </a:ext>
          </a:extLst>
        </xdr:cNvPr>
        <xdr:cNvSpPr>
          <a:spLocks noChangeAspect="1" noChangeArrowheads="1"/>
        </xdr:cNvSpPr>
      </xdr:nvSpPr>
      <xdr:spPr bwMode="auto">
        <a:xfrm>
          <a:off x="9989029425" y="1562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628650</xdr:colOff>
      <xdr:row>84</xdr:row>
      <xdr:rowOff>0</xdr:rowOff>
    </xdr:from>
    <xdr:to>
      <xdr:col>4</xdr:col>
      <xdr:colOff>929640</xdr:colOff>
      <xdr:row>85</xdr:row>
      <xdr:rowOff>62955</xdr:rowOff>
    </xdr:to>
    <xdr:sp macro="" textlink="">
      <xdr:nvSpPr>
        <xdr:cNvPr id="45" name="AutoShape 64" descr="🏴‍☠️">
          <a:extLst>
            <a:ext uri="{FF2B5EF4-FFF2-40B4-BE49-F238E27FC236}">
              <a16:creationId xmlns:a16="http://schemas.microsoft.com/office/drawing/2014/main" id="{03F6B663-922B-43E2-B494-AFB4FB00C176}"/>
            </a:ext>
          </a:extLst>
        </xdr:cNvPr>
        <xdr:cNvSpPr>
          <a:spLocks noChangeAspect="1" noChangeArrowheads="1"/>
        </xdr:cNvSpPr>
      </xdr:nvSpPr>
      <xdr:spPr bwMode="auto">
        <a:xfrm>
          <a:off x="9988715100" y="1562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172</xdr:row>
      <xdr:rowOff>0</xdr:rowOff>
    </xdr:from>
    <xdr:to>
      <xdr:col>4</xdr:col>
      <xdr:colOff>304800</xdr:colOff>
      <xdr:row>173</xdr:row>
      <xdr:rowOff>53884</xdr:rowOff>
    </xdr:to>
    <xdr:sp macro="" textlink="">
      <xdr:nvSpPr>
        <xdr:cNvPr id="46" name="AutoShape 93" descr="👈">
          <a:extLst>
            <a:ext uri="{FF2B5EF4-FFF2-40B4-BE49-F238E27FC236}">
              <a16:creationId xmlns:a16="http://schemas.microsoft.com/office/drawing/2014/main" id="{9768190F-AB8E-42A2-A569-6CADBE5A2691}"/>
            </a:ext>
          </a:extLst>
        </xdr:cNvPr>
        <xdr:cNvSpPr>
          <a:spLocks noChangeAspect="1" noChangeArrowheads="1"/>
        </xdr:cNvSpPr>
      </xdr:nvSpPr>
      <xdr:spPr bwMode="auto">
        <a:xfrm>
          <a:off x="9989343750" y="32385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106</xdr:row>
      <xdr:rowOff>0</xdr:rowOff>
    </xdr:from>
    <xdr:ext cx="304800" cy="303439"/>
    <xdr:sp macro="" textlink="">
      <xdr:nvSpPr>
        <xdr:cNvPr id="47" name="AutoShape 113" descr="📌">
          <a:extLst>
            <a:ext uri="{FF2B5EF4-FFF2-40B4-BE49-F238E27FC236}">
              <a16:creationId xmlns:a16="http://schemas.microsoft.com/office/drawing/2014/main" id="{ADC15CAA-7939-4677-B52B-0E0DAF7F2524}"/>
            </a:ext>
          </a:extLst>
        </xdr:cNvPr>
        <xdr:cNvSpPr>
          <a:spLocks noChangeAspect="1" noChangeArrowheads="1"/>
        </xdr:cNvSpPr>
      </xdr:nvSpPr>
      <xdr:spPr bwMode="auto">
        <a:xfrm>
          <a:off x="9989343750" y="19812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106</xdr:row>
      <xdr:rowOff>0</xdr:rowOff>
    </xdr:from>
    <xdr:ext cx="304800" cy="303439"/>
    <xdr:sp macro="" textlink="">
      <xdr:nvSpPr>
        <xdr:cNvPr id="48" name="AutoShape 113" descr="📌">
          <a:extLst>
            <a:ext uri="{FF2B5EF4-FFF2-40B4-BE49-F238E27FC236}">
              <a16:creationId xmlns:a16="http://schemas.microsoft.com/office/drawing/2014/main" id="{FA43D818-22E4-4C78-974D-8A7B40BDC1EE}"/>
            </a:ext>
          </a:extLst>
        </xdr:cNvPr>
        <xdr:cNvSpPr>
          <a:spLocks noChangeAspect="1" noChangeArrowheads="1"/>
        </xdr:cNvSpPr>
      </xdr:nvSpPr>
      <xdr:spPr bwMode="auto">
        <a:xfrm>
          <a:off x="9989343750" y="19812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68</xdr:row>
      <xdr:rowOff>0</xdr:rowOff>
    </xdr:from>
    <xdr:ext cx="304800" cy="303439"/>
    <xdr:sp macro="" textlink="">
      <xdr:nvSpPr>
        <xdr:cNvPr id="49" name="AutoShape 113" descr="📌">
          <a:extLst>
            <a:ext uri="{FF2B5EF4-FFF2-40B4-BE49-F238E27FC236}">
              <a16:creationId xmlns:a16="http://schemas.microsoft.com/office/drawing/2014/main" id="{EE394AAE-B99A-4727-A9CE-5C56907566A0}"/>
            </a:ext>
          </a:extLst>
        </xdr:cNvPr>
        <xdr:cNvSpPr>
          <a:spLocks noChangeAspect="1" noChangeArrowheads="1"/>
        </xdr:cNvSpPr>
      </xdr:nvSpPr>
      <xdr:spPr bwMode="auto">
        <a:xfrm>
          <a:off x="9989343750" y="1257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68</xdr:row>
      <xdr:rowOff>0</xdr:rowOff>
    </xdr:from>
    <xdr:ext cx="304800" cy="303439"/>
    <xdr:sp macro="" textlink="">
      <xdr:nvSpPr>
        <xdr:cNvPr id="50" name="AutoShape 113" descr="📌">
          <a:extLst>
            <a:ext uri="{FF2B5EF4-FFF2-40B4-BE49-F238E27FC236}">
              <a16:creationId xmlns:a16="http://schemas.microsoft.com/office/drawing/2014/main" id="{D048831C-154C-4651-8DB5-71798CA6C666}"/>
            </a:ext>
          </a:extLst>
        </xdr:cNvPr>
        <xdr:cNvSpPr>
          <a:spLocks noChangeAspect="1" noChangeArrowheads="1"/>
        </xdr:cNvSpPr>
      </xdr:nvSpPr>
      <xdr:spPr bwMode="auto">
        <a:xfrm>
          <a:off x="9989343750" y="1257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141</xdr:row>
      <xdr:rowOff>0</xdr:rowOff>
    </xdr:from>
    <xdr:ext cx="304800" cy="303439"/>
    <xdr:sp macro="" textlink="">
      <xdr:nvSpPr>
        <xdr:cNvPr id="51" name="AutoShape 113" descr="📌">
          <a:extLst>
            <a:ext uri="{FF2B5EF4-FFF2-40B4-BE49-F238E27FC236}">
              <a16:creationId xmlns:a16="http://schemas.microsoft.com/office/drawing/2014/main" id="{CA91E604-BBE7-49EC-83F6-7B91FC579032}"/>
            </a:ext>
          </a:extLst>
        </xdr:cNvPr>
        <xdr:cNvSpPr>
          <a:spLocks noChangeAspect="1" noChangeArrowheads="1"/>
        </xdr:cNvSpPr>
      </xdr:nvSpPr>
      <xdr:spPr bwMode="auto">
        <a:xfrm>
          <a:off x="9989343750" y="26479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141</xdr:row>
      <xdr:rowOff>0</xdr:rowOff>
    </xdr:from>
    <xdr:ext cx="304800" cy="303439"/>
    <xdr:sp macro="" textlink="">
      <xdr:nvSpPr>
        <xdr:cNvPr id="52" name="AutoShape 113" descr="📌">
          <a:extLst>
            <a:ext uri="{FF2B5EF4-FFF2-40B4-BE49-F238E27FC236}">
              <a16:creationId xmlns:a16="http://schemas.microsoft.com/office/drawing/2014/main" id="{AA0B1878-FC94-45C7-B1ED-70275EB74646}"/>
            </a:ext>
          </a:extLst>
        </xdr:cNvPr>
        <xdr:cNvSpPr>
          <a:spLocks noChangeAspect="1" noChangeArrowheads="1"/>
        </xdr:cNvSpPr>
      </xdr:nvSpPr>
      <xdr:spPr bwMode="auto">
        <a:xfrm>
          <a:off x="9989343750" y="26479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28</xdr:row>
      <xdr:rowOff>0</xdr:rowOff>
    </xdr:from>
    <xdr:ext cx="304800" cy="303439"/>
    <xdr:sp macro="" textlink="">
      <xdr:nvSpPr>
        <xdr:cNvPr id="53" name="AutoShape 113" descr="📌">
          <a:extLst>
            <a:ext uri="{FF2B5EF4-FFF2-40B4-BE49-F238E27FC236}">
              <a16:creationId xmlns:a16="http://schemas.microsoft.com/office/drawing/2014/main" id="{B9963927-2A90-4A12-BA0B-AB637C46AC78}"/>
            </a:ext>
          </a:extLst>
        </xdr:cNvPr>
        <xdr:cNvSpPr>
          <a:spLocks noChangeAspect="1" noChangeArrowheads="1"/>
        </xdr:cNvSpPr>
      </xdr:nvSpPr>
      <xdr:spPr bwMode="auto">
        <a:xfrm>
          <a:off x="9989343750" y="495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28</xdr:row>
      <xdr:rowOff>0</xdr:rowOff>
    </xdr:from>
    <xdr:ext cx="304800" cy="303439"/>
    <xdr:sp macro="" textlink="">
      <xdr:nvSpPr>
        <xdr:cNvPr id="54" name="AutoShape 113" descr="📌">
          <a:extLst>
            <a:ext uri="{FF2B5EF4-FFF2-40B4-BE49-F238E27FC236}">
              <a16:creationId xmlns:a16="http://schemas.microsoft.com/office/drawing/2014/main" id="{18BDEB6A-2D35-4BA7-BC5C-6F9D0215534C}"/>
            </a:ext>
          </a:extLst>
        </xdr:cNvPr>
        <xdr:cNvSpPr>
          <a:spLocks noChangeAspect="1" noChangeArrowheads="1"/>
        </xdr:cNvSpPr>
      </xdr:nvSpPr>
      <xdr:spPr bwMode="auto">
        <a:xfrm>
          <a:off x="9989343750" y="495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190</xdr:row>
      <xdr:rowOff>0</xdr:rowOff>
    </xdr:from>
    <xdr:ext cx="304800" cy="303439"/>
    <xdr:sp macro="" textlink="">
      <xdr:nvSpPr>
        <xdr:cNvPr id="55" name="AutoShape 113" descr="📌">
          <a:extLst>
            <a:ext uri="{FF2B5EF4-FFF2-40B4-BE49-F238E27FC236}">
              <a16:creationId xmlns:a16="http://schemas.microsoft.com/office/drawing/2014/main" id="{F8F53A6F-F211-40A4-8D8F-0E36AF4A37D8}"/>
            </a:ext>
          </a:extLst>
        </xdr:cNvPr>
        <xdr:cNvSpPr>
          <a:spLocks noChangeAspect="1" noChangeArrowheads="1"/>
        </xdr:cNvSpPr>
      </xdr:nvSpPr>
      <xdr:spPr bwMode="auto">
        <a:xfrm>
          <a:off x="9989343750" y="35814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190</xdr:row>
      <xdr:rowOff>0</xdr:rowOff>
    </xdr:from>
    <xdr:ext cx="304800" cy="303439"/>
    <xdr:sp macro="" textlink="">
      <xdr:nvSpPr>
        <xdr:cNvPr id="56" name="AutoShape 113" descr="📌">
          <a:extLst>
            <a:ext uri="{FF2B5EF4-FFF2-40B4-BE49-F238E27FC236}">
              <a16:creationId xmlns:a16="http://schemas.microsoft.com/office/drawing/2014/main" id="{1038FF91-0161-4EFE-B7D6-131E777A469C}"/>
            </a:ext>
          </a:extLst>
        </xdr:cNvPr>
        <xdr:cNvSpPr>
          <a:spLocks noChangeAspect="1" noChangeArrowheads="1"/>
        </xdr:cNvSpPr>
      </xdr:nvSpPr>
      <xdr:spPr bwMode="auto">
        <a:xfrm>
          <a:off x="9989343750" y="35814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107</xdr:row>
      <xdr:rowOff>0</xdr:rowOff>
    </xdr:from>
    <xdr:ext cx="304800" cy="303439"/>
    <xdr:sp macro="" textlink="">
      <xdr:nvSpPr>
        <xdr:cNvPr id="57" name="AutoShape 113" descr="📌">
          <a:extLst>
            <a:ext uri="{FF2B5EF4-FFF2-40B4-BE49-F238E27FC236}">
              <a16:creationId xmlns:a16="http://schemas.microsoft.com/office/drawing/2014/main" id="{D3DCD0B6-2202-4A27-B4E2-FEFBE91C7AD4}"/>
            </a:ext>
          </a:extLst>
        </xdr:cNvPr>
        <xdr:cNvSpPr>
          <a:spLocks noChangeAspect="1" noChangeArrowheads="1"/>
        </xdr:cNvSpPr>
      </xdr:nvSpPr>
      <xdr:spPr bwMode="auto">
        <a:xfrm>
          <a:off x="9989343750" y="20002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107</xdr:row>
      <xdr:rowOff>0</xdr:rowOff>
    </xdr:from>
    <xdr:ext cx="304800" cy="303439"/>
    <xdr:sp macro="" textlink="">
      <xdr:nvSpPr>
        <xdr:cNvPr id="58" name="AutoShape 113" descr="📌">
          <a:extLst>
            <a:ext uri="{FF2B5EF4-FFF2-40B4-BE49-F238E27FC236}">
              <a16:creationId xmlns:a16="http://schemas.microsoft.com/office/drawing/2014/main" id="{CCDB932E-9639-43CC-B58D-B00C42052547}"/>
            </a:ext>
          </a:extLst>
        </xdr:cNvPr>
        <xdr:cNvSpPr>
          <a:spLocks noChangeAspect="1" noChangeArrowheads="1"/>
        </xdr:cNvSpPr>
      </xdr:nvSpPr>
      <xdr:spPr bwMode="auto">
        <a:xfrm>
          <a:off x="9989343750" y="20002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44</xdr:row>
      <xdr:rowOff>0</xdr:rowOff>
    </xdr:from>
    <xdr:ext cx="304800" cy="303439"/>
    <xdr:sp macro="" textlink="">
      <xdr:nvSpPr>
        <xdr:cNvPr id="59" name="AutoShape 113" descr="📌">
          <a:extLst>
            <a:ext uri="{FF2B5EF4-FFF2-40B4-BE49-F238E27FC236}">
              <a16:creationId xmlns:a16="http://schemas.microsoft.com/office/drawing/2014/main" id="{567B1E0C-42EC-49E1-8371-7318D5278954}"/>
            </a:ext>
          </a:extLst>
        </xdr:cNvPr>
        <xdr:cNvSpPr>
          <a:spLocks noChangeAspect="1" noChangeArrowheads="1"/>
        </xdr:cNvSpPr>
      </xdr:nvSpPr>
      <xdr:spPr bwMode="auto">
        <a:xfrm>
          <a:off x="9989343750" y="800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44</xdr:row>
      <xdr:rowOff>0</xdr:rowOff>
    </xdr:from>
    <xdr:ext cx="304800" cy="303439"/>
    <xdr:sp macro="" textlink="">
      <xdr:nvSpPr>
        <xdr:cNvPr id="60" name="AutoShape 113" descr="📌">
          <a:extLst>
            <a:ext uri="{FF2B5EF4-FFF2-40B4-BE49-F238E27FC236}">
              <a16:creationId xmlns:a16="http://schemas.microsoft.com/office/drawing/2014/main" id="{B92680BE-6A56-43BA-9D9F-FFA316A59E05}"/>
            </a:ext>
          </a:extLst>
        </xdr:cNvPr>
        <xdr:cNvSpPr>
          <a:spLocks noChangeAspect="1" noChangeArrowheads="1"/>
        </xdr:cNvSpPr>
      </xdr:nvSpPr>
      <xdr:spPr bwMode="auto">
        <a:xfrm>
          <a:off x="9989343750" y="800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72</xdr:row>
      <xdr:rowOff>0</xdr:rowOff>
    </xdr:from>
    <xdr:ext cx="304800" cy="303439"/>
    <xdr:sp macro="" textlink="">
      <xdr:nvSpPr>
        <xdr:cNvPr id="61" name="AutoShape 113" descr="📌">
          <a:extLst>
            <a:ext uri="{FF2B5EF4-FFF2-40B4-BE49-F238E27FC236}">
              <a16:creationId xmlns:a16="http://schemas.microsoft.com/office/drawing/2014/main" id="{DCE999C1-ACFA-461C-9F6F-4203CD048D75}"/>
            </a:ext>
          </a:extLst>
        </xdr:cNvPr>
        <xdr:cNvSpPr>
          <a:spLocks noChangeAspect="1" noChangeArrowheads="1"/>
        </xdr:cNvSpPr>
      </xdr:nvSpPr>
      <xdr:spPr bwMode="auto">
        <a:xfrm>
          <a:off x="9989343750" y="13335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72</xdr:row>
      <xdr:rowOff>0</xdr:rowOff>
    </xdr:from>
    <xdr:ext cx="304800" cy="303439"/>
    <xdr:sp macro="" textlink="">
      <xdr:nvSpPr>
        <xdr:cNvPr id="62" name="AutoShape 113" descr="📌">
          <a:extLst>
            <a:ext uri="{FF2B5EF4-FFF2-40B4-BE49-F238E27FC236}">
              <a16:creationId xmlns:a16="http://schemas.microsoft.com/office/drawing/2014/main" id="{34039832-9202-40D3-B6F7-7917EC1CDC5C}"/>
            </a:ext>
          </a:extLst>
        </xdr:cNvPr>
        <xdr:cNvSpPr>
          <a:spLocks noChangeAspect="1" noChangeArrowheads="1"/>
        </xdr:cNvSpPr>
      </xdr:nvSpPr>
      <xdr:spPr bwMode="auto">
        <a:xfrm>
          <a:off x="9989343750" y="13335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45</xdr:row>
      <xdr:rowOff>0</xdr:rowOff>
    </xdr:from>
    <xdr:ext cx="304800" cy="303439"/>
    <xdr:sp macro="" textlink="">
      <xdr:nvSpPr>
        <xdr:cNvPr id="63" name="AutoShape 113" descr="📌">
          <a:extLst>
            <a:ext uri="{FF2B5EF4-FFF2-40B4-BE49-F238E27FC236}">
              <a16:creationId xmlns:a16="http://schemas.microsoft.com/office/drawing/2014/main" id="{2E8D865F-8C96-421F-958D-E688C7B27DDC}"/>
            </a:ext>
          </a:extLst>
        </xdr:cNvPr>
        <xdr:cNvSpPr>
          <a:spLocks noChangeAspect="1" noChangeArrowheads="1"/>
        </xdr:cNvSpPr>
      </xdr:nvSpPr>
      <xdr:spPr bwMode="auto">
        <a:xfrm>
          <a:off x="9989343750" y="8191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45</xdr:row>
      <xdr:rowOff>0</xdr:rowOff>
    </xdr:from>
    <xdr:ext cx="304800" cy="303439"/>
    <xdr:sp macro="" textlink="">
      <xdr:nvSpPr>
        <xdr:cNvPr id="64" name="AutoShape 113" descr="📌">
          <a:extLst>
            <a:ext uri="{FF2B5EF4-FFF2-40B4-BE49-F238E27FC236}">
              <a16:creationId xmlns:a16="http://schemas.microsoft.com/office/drawing/2014/main" id="{6CC1EAC7-27B9-4967-A59D-66FF19C66654}"/>
            </a:ext>
          </a:extLst>
        </xdr:cNvPr>
        <xdr:cNvSpPr>
          <a:spLocks noChangeAspect="1" noChangeArrowheads="1"/>
        </xdr:cNvSpPr>
      </xdr:nvSpPr>
      <xdr:spPr bwMode="auto">
        <a:xfrm>
          <a:off x="9989343750" y="8191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108</xdr:row>
      <xdr:rowOff>0</xdr:rowOff>
    </xdr:from>
    <xdr:ext cx="304800" cy="303439"/>
    <xdr:sp macro="" textlink="">
      <xdr:nvSpPr>
        <xdr:cNvPr id="65" name="AutoShape 113" descr="📌">
          <a:extLst>
            <a:ext uri="{FF2B5EF4-FFF2-40B4-BE49-F238E27FC236}">
              <a16:creationId xmlns:a16="http://schemas.microsoft.com/office/drawing/2014/main" id="{E8A29A6F-0E4C-4FD3-A574-595EDFB1BCED}"/>
            </a:ext>
          </a:extLst>
        </xdr:cNvPr>
        <xdr:cNvSpPr>
          <a:spLocks noChangeAspect="1" noChangeArrowheads="1"/>
        </xdr:cNvSpPr>
      </xdr:nvSpPr>
      <xdr:spPr bwMode="auto">
        <a:xfrm>
          <a:off x="9989343750" y="2019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108</xdr:row>
      <xdr:rowOff>0</xdr:rowOff>
    </xdr:from>
    <xdr:ext cx="304800" cy="303439"/>
    <xdr:sp macro="" textlink="">
      <xdr:nvSpPr>
        <xdr:cNvPr id="66" name="AutoShape 113" descr="📌">
          <a:extLst>
            <a:ext uri="{FF2B5EF4-FFF2-40B4-BE49-F238E27FC236}">
              <a16:creationId xmlns:a16="http://schemas.microsoft.com/office/drawing/2014/main" id="{3F5DB268-F0FF-4CC8-9141-9D94BC000F7E}"/>
            </a:ext>
          </a:extLst>
        </xdr:cNvPr>
        <xdr:cNvSpPr>
          <a:spLocks noChangeAspect="1" noChangeArrowheads="1"/>
        </xdr:cNvSpPr>
      </xdr:nvSpPr>
      <xdr:spPr bwMode="auto">
        <a:xfrm>
          <a:off x="9989343750" y="2019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154</xdr:row>
      <xdr:rowOff>0</xdr:rowOff>
    </xdr:from>
    <xdr:ext cx="304800" cy="303439"/>
    <xdr:sp macro="" textlink="">
      <xdr:nvSpPr>
        <xdr:cNvPr id="67" name="AutoShape 113" descr="📌">
          <a:extLst>
            <a:ext uri="{FF2B5EF4-FFF2-40B4-BE49-F238E27FC236}">
              <a16:creationId xmlns:a16="http://schemas.microsoft.com/office/drawing/2014/main" id="{47BB85D8-9269-4625-90F0-714F780D394D}"/>
            </a:ext>
          </a:extLst>
        </xdr:cNvPr>
        <xdr:cNvSpPr>
          <a:spLocks noChangeAspect="1" noChangeArrowheads="1"/>
        </xdr:cNvSpPr>
      </xdr:nvSpPr>
      <xdr:spPr bwMode="auto">
        <a:xfrm>
          <a:off x="9989343750" y="28956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154</xdr:row>
      <xdr:rowOff>0</xdr:rowOff>
    </xdr:from>
    <xdr:ext cx="304800" cy="303439"/>
    <xdr:sp macro="" textlink="">
      <xdr:nvSpPr>
        <xdr:cNvPr id="68" name="AutoShape 113" descr="📌">
          <a:extLst>
            <a:ext uri="{FF2B5EF4-FFF2-40B4-BE49-F238E27FC236}">
              <a16:creationId xmlns:a16="http://schemas.microsoft.com/office/drawing/2014/main" id="{94B00E90-D2C0-4DED-B707-0D8DDA6A2B30}"/>
            </a:ext>
          </a:extLst>
        </xdr:cNvPr>
        <xdr:cNvSpPr>
          <a:spLocks noChangeAspect="1" noChangeArrowheads="1"/>
        </xdr:cNvSpPr>
      </xdr:nvSpPr>
      <xdr:spPr bwMode="auto">
        <a:xfrm>
          <a:off x="9989343750" y="28956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142</xdr:row>
      <xdr:rowOff>0</xdr:rowOff>
    </xdr:from>
    <xdr:ext cx="304800" cy="303439"/>
    <xdr:sp macro="" textlink="">
      <xdr:nvSpPr>
        <xdr:cNvPr id="69" name="AutoShape 113" descr="📌">
          <a:extLst>
            <a:ext uri="{FF2B5EF4-FFF2-40B4-BE49-F238E27FC236}">
              <a16:creationId xmlns:a16="http://schemas.microsoft.com/office/drawing/2014/main" id="{2AEEE62D-6B41-4436-AB12-CC8EB695F815}"/>
            </a:ext>
          </a:extLst>
        </xdr:cNvPr>
        <xdr:cNvSpPr>
          <a:spLocks noChangeAspect="1" noChangeArrowheads="1"/>
        </xdr:cNvSpPr>
      </xdr:nvSpPr>
      <xdr:spPr bwMode="auto">
        <a:xfrm>
          <a:off x="9989343750" y="26670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142</xdr:row>
      <xdr:rowOff>0</xdr:rowOff>
    </xdr:from>
    <xdr:ext cx="304800" cy="303439"/>
    <xdr:sp macro="" textlink="">
      <xdr:nvSpPr>
        <xdr:cNvPr id="70" name="AutoShape 113" descr="📌">
          <a:extLst>
            <a:ext uri="{FF2B5EF4-FFF2-40B4-BE49-F238E27FC236}">
              <a16:creationId xmlns:a16="http://schemas.microsoft.com/office/drawing/2014/main" id="{A195921B-D8BF-438C-8FAA-D22675349FD2}"/>
            </a:ext>
          </a:extLst>
        </xdr:cNvPr>
        <xdr:cNvSpPr>
          <a:spLocks noChangeAspect="1" noChangeArrowheads="1"/>
        </xdr:cNvSpPr>
      </xdr:nvSpPr>
      <xdr:spPr bwMode="auto">
        <a:xfrm>
          <a:off x="9989343750" y="26670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46</xdr:row>
      <xdr:rowOff>0</xdr:rowOff>
    </xdr:from>
    <xdr:ext cx="304800" cy="303439"/>
    <xdr:sp macro="" textlink="">
      <xdr:nvSpPr>
        <xdr:cNvPr id="71" name="AutoShape 113" descr="📌">
          <a:extLst>
            <a:ext uri="{FF2B5EF4-FFF2-40B4-BE49-F238E27FC236}">
              <a16:creationId xmlns:a16="http://schemas.microsoft.com/office/drawing/2014/main" id="{505064F2-E581-4A9B-8A79-E39CAE743E87}"/>
            </a:ext>
          </a:extLst>
        </xdr:cNvPr>
        <xdr:cNvSpPr>
          <a:spLocks noChangeAspect="1" noChangeArrowheads="1"/>
        </xdr:cNvSpPr>
      </xdr:nvSpPr>
      <xdr:spPr bwMode="auto">
        <a:xfrm>
          <a:off x="9989343750" y="8382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46</xdr:row>
      <xdr:rowOff>0</xdr:rowOff>
    </xdr:from>
    <xdr:ext cx="304800" cy="303439"/>
    <xdr:sp macro="" textlink="">
      <xdr:nvSpPr>
        <xdr:cNvPr id="72" name="AutoShape 113" descr="📌">
          <a:extLst>
            <a:ext uri="{FF2B5EF4-FFF2-40B4-BE49-F238E27FC236}">
              <a16:creationId xmlns:a16="http://schemas.microsoft.com/office/drawing/2014/main" id="{D49B5E19-07A9-4218-B0C6-2CD452B00AF2}"/>
            </a:ext>
          </a:extLst>
        </xdr:cNvPr>
        <xdr:cNvSpPr>
          <a:spLocks noChangeAspect="1" noChangeArrowheads="1"/>
        </xdr:cNvSpPr>
      </xdr:nvSpPr>
      <xdr:spPr bwMode="auto">
        <a:xfrm>
          <a:off x="9989343750" y="8382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155</xdr:row>
      <xdr:rowOff>0</xdr:rowOff>
    </xdr:from>
    <xdr:ext cx="304800" cy="303439"/>
    <xdr:sp macro="" textlink="">
      <xdr:nvSpPr>
        <xdr:cNvPr id="73" name="AutoShape 113" descr="📌">
          <a:extLst>
            <a:ext uri="{FF2B5EF4-FFF2-40B4-BE49-F238E27FC236}">
              <a16:creationId xmlns:a16="http://schemas.microsoft.com/office/drawing/2014/main" id="{6F2D3075-1B40-467C-A5BE-F4EFC16B6122}"/>
            </a:ext>
          </a:extLst>
        </xdr:cNvPr>
        <xdr:cNvSpPr>
          <a:spLocks noChangeAspect="1" noChangeArrowheads="1"/>
        </xdr:cNvSpPr>
      </xdr:nvSpPr>
      <xdr:spPr bwMode="auto">
        <a:xfrm>
          <a:off x="9989343750" y="29146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155</xdr:row>
      <xdr:rowOff>0</xdr:rowOff>
    </xdr:from>
    <xdr:ext cx="304800" cy="303439"/>
    <xdr:sp macro="" textlink="">
      <xdr:nvSpPr>
        <xdr:cNvPr id="74" name="AutoShape 113" descr="📌">
          <a:extLst>
            <a:ext uri="{FF2B5EF4-FFF2-40B4-BE49-F238E27FC236}">
              <a16:creationId xmlns:a16="http://schemas.microsoft.com/office/drawing/2014/main" id="{3E075CE3-0C4F-479C-926E-8A1FC2F50FDD}"/>
            </a:ext>
          </a:extLst>
        </xdr:cNvPr>
        <xdr:cNvSpPr>
          <a:spLocks noChangeAspect="1" noChangeArrowheads="1"/>
        </xdr:cNvSpPr>
      </xdr:nvSpPr>
      <xdr:spPr bwMode="auto">
        <a:xfrm>
          <a:off x="9989343750" y="29146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164</xdr:row>
      <xdr:rowOff>0</xdr:rowOff>
    </xdr:from>
    <xdr:ext cx="304800" cy="303439"/>
    <xdr:sp macro="" textlink="">
      <xdr:nvSpPr>
        <xdr:cNvPr id="75" name="AutoShape 113" descr="📌">
          <a:extLst>
            <a:ext uri="{FF2B5EF4-FFF2-40B4-BE49-F238E27FC236}">
              <a16:creationId xmlns:a16="http://schemas.microsoft.com/office/drawing/2014/main" id="{3C86DB3D-DE94-4E41-BABD-629821DD9E0D}"/>
            </a:ext>
          </a:extLst>
        </xdr:cNvPr>
        <xdr:cNvSpPr>
          <a:spLocks noChangeAspect="1" noChangeArrowheads="1"/>
        </xdr:cNvSpPr>
      </xdr:nvSpPr>
      <xdr:spPr bwMode="auto">
        <a:xfrm>
          <a:off x="9989343750" y="3086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164</xdr:row>
      <xdr:rowOff>0</xdr:rowOff>
    </xdr:from>
    <xdr:ext cx="304800" cy="303439"/>
    <xdr:sp macro="" textlink="">
      <xdr:nvSpPr>
        <xdr:cNvPr id="76" name="AutoShape 113" descr="📌">
          <a:extLst>
            <a:ext uri="{FF2B5EF4-FFF2-40B4-BE49-F238E27FC236}">
              <a16:creationId xmlns:a16="http://schemas.microsoft.com/office/drawing/2014/main" id="{A047E810-E039-4028-A5E3-EE9428B85779}"/>
            </a:ext>
          </a:extLst>
        </xdr:cNvPr>
        <xdr:cNvSpPr>
          <a:spLocks noChangeAspect="1" noChangeArrowheads="1"/>
        </xdr:cNvSpPr>
      </xdr:nvSpPr>
      <xdr:spPr bwMode="auto">
        <a:xfrm>
          <a:off x="9989343750" y="3086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143</xdr:row>
      <xdr:rowOff>0</xdr:rowOff>
    </xdr:from>
    <xdr:ext cx="304800" cy="303439"/>
    <xdr:sp macro="" textlink="">
      <xdr:nvSpPr>
        <xdr:cNvPr id="77" name="AutoShape 113" descr="📌">
          <a:extLst>
            <a:ext uri="{FF2B5EF4-FFF2-40B4-BE49-F238E27FC236}">
              <a16:creationId xmlns:a16="http://schemas.microsoft.com/office/drawing/2014/main" id="{F9EB87F7-3D98-41FF-B048-D0122FBCABF9}"/>
            </a:ext>
          </a:extLst>
        </xdr:cNvPr>
        <xdr:cNvSpPr>
          <a:spLocks noChangeAspect="1" noChangeArrowheads="1"/>
        </xdr:cNvSpPr>
      </xdr:nvSpPr>
      <xdr:spPr bwMode="auto">
        <a:xfrm>
          <a:off x="9989343750" y="26860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143</xdr:row>
      <xdr:rowOff>0</xdr:rowOff>
    </xdr:from>
    <xdr:ext cx="304800" cy="303439"/>
    <xdr:sp macro="" textlink="">
      <xdr:nvSpPr>
        <xdr:cNvPr id="78" name="AutoShape 113" descr="📌">
          <a:extLst>
            <a:ext uri="{FF2B5EF4-FFF2-40B4-BE49-F238E27FC236}">
              <a16:creationId xmlns:a16="http://schemas.microsoft.com/office/drawing/2014/main" id="{722C278C-74F2-46D6-9989-BF7780CBDCF4}"/>
            </a:ext>
          </a:extLst>
        </xdr:cNvPr>
        <xdr:cNvSpPr>
          <a:spLocks noChangeAspect="1" noChangeArrowheads="1"/>
        </xdr:cNvSpPr>
      </xdr:nvSpPr>
      <xdr:spPr bwMode="auto">
        <a:xfrm>
          <a:off x="9989343750" y="26860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47</xdr:row>
      <xdr:rowOff>0</xdr:rowOff>
    </xdr:from>
    <xdr:ext cx="304800" cy="303439"/>
    <xdr:sp macro="" textlink="">
      <xdr:nvSpPr>
        <xdr:cNvPr id="79" name="AutoShape 113" descr="📌">
          <a:extLst>
            <a:ext uri="{FF2B5EF4-FFF2-40B4-BE49-F238E27FC236}">
              <a16:creationId xmlns:a16="http://schemas.microsoft.com/office/drawing/2014/main" id="{ACEE314D-F1DB-43E6-8D13-F9100B5B25AB}"/>
            </a:ext>
          </a:extLst>
        </xdr:cNvPr>
        <xdr:cNvSpPr>
          <a:spLocks noChangeAspect="1" noChangeArrowheads="1"/>
        </xdr:cNvSpPr>
      </xdr:nvSpPr>
      <xdr:spPr bwMode="auto">
        <a:xfrm>
          <a:off x="9989343750" y="8572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47</xdr:row>
      <xdr:rowOff>0</xdr:rowOff>
    </xdr:from>
    <xdr:ext cx="304800" cy="303439"/>
    <xdr:sp macro="" textlink="">
      <xdr:nvSpPr>
        <xdr:cNvPr id="80" name="AutoShape 113" descr="📌">
          <a:extLst>
            <a:ext uri="{FF2B5EF4-FFF2-40B4-BE49-F238E27FC236}">
              <a16:creationId xmlns:a16="http://schemas.microsoft.com/office/drawing/2014/main" id="{6701BECE-15BA-4614-8F4C-A23D1275AAF3}"/>
            </a:ext>
          </a:extLst>
        </xdr:cNvPr>
        <xdr:cNvSpPr>
          <a:spLocks noChangeAspect="1" noChangeArrowheads="1"/>
        </xdr:cNvSpPr>
      </xdr:nvSpPr>
      <xdr:spPr bwMode="auto">
        <a:xfrm>
          <a:off x="9989343750" y="8572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112</xdr:row>
      <xdr:rowOff>0</xdr:rowOff>
    </xdr:from>
    <xdr:ext cx="304800" cy="303439"/>
    <xdr:sp macro="" textlink="">
      <xdr:nvSpPr>
        <xdr:cNvPr id="81" name="AutoShape 113" descr="📌">
          <a:extLst>
            <a:ext uri="{FF2B5EF4-FFF2-40B4-BE49-F238E27FC236}">
              <a16:creationId xmlns:a16="http://schemas.microsoft.com/office/drawing/2014/main" id="{27C8F816-9004-48AD-9633-0C1942F2DCD8}"/>
            </a:ext>
          </a:extLst>
        </xdr:cNvPr>
        <xdr:cNvSpPr>
          <a:spLocks noChangeAspect="1" noChangeArrowheads="1"/>
        </xdr:cNvSpPr>
      </xdr:nvSpPr>
      <xdr:spPr bwMode="auto">
        <a:xfrm>
          <a:off x="9989343750" y="20955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112</xdr:row>
      <xdr:rowOff>0</xdr:rowOff>
    </xdr:from>
    <xdr:ext cx="304800" cy="303439"/>
    <xdr:sp macro="" textlink="">
      <xdr:nvSpPr>
        <xdr:cNvPr id="82" name="AutoShape 113" descr="📌">
          <a:extLst>
            <a:ext uri="{FF2B5EF4-FFF2-40B4-BE49-F238E27FC236}">
              <a16:creationId xmlns:a16="http://schemas.microsoft.com/office/drawing/2014/main" id="{340EF145-2729-4A6F-AF80-26BC060E78A7}"/>
            </a:ext>
          </a:extLst>
        </xdr:cNvPr>
        <xdr:cNvSpPr>
          <a:spLocks noChangeAspect="1" noChangeArrowheads="1"/>
        </xdr:cNvSpPr>
      </xdr:nvSpPr>
      <xdr:spPr bwMode="auto">
        <a:xfrm>
          <a:off x="9989343750" y="20955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74</xdr:row>
      <xdr:rowOff>0</xdr:rowOff>
    </xdr:from>
    <xdr:ext cx="304800" cy="303439"/>
    <xdr:sp macro="" textlink="">
      <xdr:nvSpPr>
        <xdr:cNvPr id="83" name="AutoShape 113" descr="📌">
          <a:extLst>
            <a:ext uri="{FF2B5EF4-FFF2-40B4-BE49-F238E27FC236}">
              <a16:creationId xmlns:a16="http://schemas.microsoft.com/office/drawing/2014/main" id="{0BAA427C-2D10-46E4-833A-39552CBB660D}"/>
            </a:ext>
          </a:extLst>
        </xdr:cNvPr>
        <xdr:cNvSpPr>
          <a:spLocks noChangeAspect="1" noChangeArrowheads="1"/>
        </xdr:cNvSpPr>
      </xdr:nvSpPr>
      <xdr:spPr bwMode="auto">
        <a:xfrm>
          <a:off x="9989343750" y="13716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74</xdr:row>
      <xdr:rowOff>0</xdr:rowOff>
    </xdr:from>
    <xdr:ext cx="304800" cy="303439"/>
    <xdr:sp macro="" textlink="">
      <xdr:nvSpPr>
        <xdr:cNvPr id="84" name="AutoShape 113" descr="📌">
          <a:extLst>
            <a:ext uri="{FF2B5EF4-FFF2-40B4-BE49-F238E27FC236}">
              <a16:creationId xmlns:a16="http://schemas.microsoft.com/office/drawing/2014/main" id="{40828806-CC07-4026-817A-FB3681BC1F9F}"/>
            </a:ext>
          </a:extLst>
        </xdr:cNvPr>
        <xdr:cNvSpPr>
          <a:spLocks noChangeAspect="1" noChangeArrowheads="1"/>
        </xdr:cNvSpPr>
      </xdr:nvSpPr>
      <xdr:spPr bwMode="auto">
        <a:xfrm>
          <a:off x="9989343750" y="13716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48</xdr:row>
      <xdr:rowOff>0</xdr:rowOff>
    </xdr:from>
    <xdr:ext cx="304800" cy="303439"/>
    <xdr:sp macro="" textlink="">
      <xdr:nvSpPr>
        <xdr:cNvPr id="85" name="AutoShape 113" descr="📌">
          <a:extLst>
            <a:ext uri="{FF2B5EF4-FFF2-40B4-BE49-F238E27FC236}">
              <a16:creationId xmlns:a16="http://schemas.microsoft.com/office/drawing/2014/main" id="{78390F2E-9D32-43C9-8437-C6F8AB3C5BCB}"/>
            </a:ext>
          </a:extLst>
        </xdr:cNvPr>
        <xdr:cNvSpPr>
          <a:spLocks noChangeAspect="1" noChangeArrowheads="1"/>
        </xdr:cNvSpPr>
      </xdr:nvSpPr>
      <xdr:spPr bwMode="auto">
        <a:xfrm>
          <a:off x="9989343750" y="876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48</xdr:row>
      <xdr:rowOff>0</xdr:rowOff>
    </xdr:from>
    <xdr:ext cx="304800" cy="303439"/>
    <xdr:sp macro="" textlink="">
      <xdr:nvSpPr>
        <xdr:cNvPr id="86" name="AutoShape 113" descr="📌">
          <a:extLst>
            <a:ext uri="{FF2B5EF4-FFF2-40B4-BE49-F238E27FC236}">
              <a16:creationId xmlns:a16="http://schemas.microsoft.com/office/drawing/2014/main" id="{80E1DC5C-4127-4CF1-82B7-0C72533ABE40}"/>
            </a:ext>
          </a:extLst>
        </xdr:cNvPr>
        <xdr:cNvSpPr>
          <a:spLocks noChangeAspect="1" noChangeArrowheads="1"/>
        </xdr:cNvSpPr>
      </xdr:nvSpPr>
      <xdr:spPr bwMode="auto">
        <a:xfrm>
          <a:off x="9989343750" y="876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49</xdr:row>
      <xdr:rowOff>0</xdr:rowOff>
    </xdr:from>
    <xdr:ext cx="304800" cy="303439"/>
    <xdr:sp macro="" textlink="">
      <xdr:nvSpPr>
        <xdr:cNvPr id="87" name="AutoShape 113" descr="📌">
          <a:extLst>
            <a:ext uri="{FF2B5EF4-FFF2-40B4-BE49-F238E27FC236}">
              <a16:creationId xmlns:a16="http://schemas.microsoft.com/office/drawing/2014/main" id="{6CEEEE3D-0AB5-4611-8DDA-1F935B745D63}"/>
            </a:ext>
          </a:extLst>
        </xdr:cNvPr>
        <xdr:cNvSpPr>
          <a:spLocks noChangeAspect="1" noChangeArrowheads="1"/>
        </xdr:cNvSpPr>
      </xdr:nvSpPr>
      <xdr:spPr bwMode="auto">
        <a:xfrm>
          <a:off x="9989343750" y="8953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49</xdr:row>
      <xdr:rowOff>0</xdr:rowOff>
    </xdr:from>
    <xdr:ext cx="304800" cy="303439"/>
    <xdr:sp macro="" textlink="">
      <xdr:nvSpPr>
        <xdr:cNvPr id="88" name="AutoShape 113" descr="📌">
          <a:extLst>
            <a:ext uri="{FF2B5EF4-FFF2-40B4-BE49-F238E27FC236}">
              <a16:creationId xmlns:a16="http://schemas.microsoft.com/office/drawing/2014/main" id="{48FD439A-1C71-4785-AD35-BA0E8D2C046C}"/>
            </a:ext>
          </a:extLst>
        </xdr:cNvPr>
        <xdr:cNvSpPr>
          <a:spLocks noChangeAspect="1" noChangeArrowheads="1"/>
        </xdr:cNvSpPr>
      </xdr:nvSpPr>
      <xdr:spPr bwMode="auto">
        <a:xfrm>
          <a:off x="9989343750" y="8953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68</xdr:row>
      <xdr:rowOff>0</xdr:rowOff>
    </xdr:from>
    <xdr:to>
      <xdr:col>4</xdr:col>
      <xdr:colOff>304800</xdr:colOff>
      <xdr:row>69</xdr:row>
      <xdr:rowOff>62956</xdr:rowOff>
    </xdr:to>
    <xdr:sp macro="" textlink="">
      <xdr:nvSpPr>
        <xdr:cNvPr id="89" name="AutoShape 7">
          <a:extLst>
            <a:ext uri="{FF2B5EF4-FFF2-40B4-BE49-F238E27FC236}">
              <a16:creationId xmlns:a16="http://schemas.microsoft.com/office/drawing/2014/main" id="{9CAE102F-2E3B-41C6-A3E9-088B9CCF2DED}"/>
            </a:ext>
          </a:extLst>
        </xdr:cNvPr>
        <xdr:cNvSpPr>
          <a:spLocks noChangeAspect="1" noChangeArrowheads="1"/>
        </xdr:cNvSpPr>
      </xdr:nvSpPr>
      <xdr:spPr bwMode="auto">
        <a:xfrm>
          <a:off x="9989343750" y="12573000"/>
          <a:ext cx="304800" cy="3034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141</xdr:row>
      <xdr:rowOff>0</xdr:rowOff>
    </xdr:from>
    <xdr:to>
      <xdr:col>4</xdr:col>
      <xdr:colOff>304800</xdr:colOff>
      <xdr:row>142</xdr:row>
      <xdr:rowOff>62956</xdr:rowOff>
    </xdr:to>
    <xdr:sp macro="" textlink="">
      <xdr:nvSpPr>
        <xdr:cNvPr id="90" name="AutoShape 38" descr="🔺">
          <a:extLst>
            <a:ext uri="{FF2B5EF4-FFF2-40B4-BE49-F238E27FC236}">
              <a16:creationId xmlns:a16="http://schemas.microsoft.com/office/drawing/2014/main" id="{43D1926C-E138-4C64-9158-1547848FDE32}"/>
            </a:ext>
          </a:extLst>
        </xdr:cNvPr>
        <xdr:cNvSpPr>
          <a:spLocks noChangeAspect="1" noChangeArrowheads="1"/>
        </xdr:cNvSpPr>
      </xdr:nvSpPr>
      <xdr:spPr bwMode="auto">
        <a:xfrm>
          <a:off x="9989343750" y="26479500"/>
          <a:ext cx="304800" cy="3034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85</xdr:row>
      <xdr:rowOff>0</xdr:rowOff>
    </xdr:from>
    <xdr:to>
      <xdr:col>4</xdr:col>
      <xdr:colOff>304800</xdr:colOff>
      <xdr:row>86</xdr:row>
      <xdr:rowOff>62956</xdr:rowOff>
    </xdr:to>
    <xdr:sp macro="" textlink="">
      <xdr:nvSpPr>
        <xdr:cNvPr id="91" name="AutoShape 39" descr="👈">
          <a:extLst>
            <a:ext uri="{FF2B5EF4-FFF2-40B4-BE49-F238E27FC236}">
              <a16:creationId xmlns:a16="http://schemas.microsoft.com/office/drawing/2014/main" id="{836DBE73-13EA-4231-9D66-CEE7EEF80011}"/>
            </a:ext>
          </a:extLst>
        </xdr:cNvPr>
        <xdr:cNvSpPr>
          <a:spLocks noChangeAspect="1" noChangeArrowheads="1"/>
        </xdr:cNvSpPr>
      </xdr:nvSpPr>
      <xdr:spPr bwMode="auto">
        <a:xfrm>
          <a:off x="9989343750" y="15811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28</xdr:row>
      <xdr:rowOff>0</xdr:rowOff>
    </xdr:from>
    <xdr:to>
      <xdr:col>4</xdr:col>
      <xdr:colOff>304800</xdr:colOff>
      <xdr:row>29</xdr:row>
      <xdr:rowOff>62955</xdr:rowOff>
    </xdr:to>
    <xdr:sp macro="" textlink="">
      <xdr:nvSpPr>
        <xdr:cNvPr id="92" name="AutoShape 72" descr="▪️">
          <a:extLst>
            <a:ext uri="{FF2B5EF4-FFF2-40B4-BE49-F238E27FC236}">
              <a16:creationId xmlns:a16="http://schemas.microsoft.com/office/drawing/2014/main" id="{279AE40E-2360-4E21-9D9E-FE4BF80F4CBB}"/>
            </a:ext>
          </a:extLst>
        </xdr:cNvPr>
        <xdr:cNvSpPr>
          <a:spLocks noChangeAspect="1" noChangeArrowheads="1"/>
        </xdr:cNvSpPr>
      </xdr:nvSpPr>
      <xdr:spPr bwMode="auto">
        <a:xfrm>
          <a:off x="9989343750" y="495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44</xdr:row>
      <xdr:rowOff>0</xdr:rowOff>
    </xdr:from>
    <xdr:to>
      <xdr:col>4</xdr:col>
      <xdr:colOff>304800</xdr:colOff>
      <xdr:row>45</xdr:row>
      <xdr:rowOff>62955</xdr:rowOff>
    </xdr:to>
    <xdr:sp macro="" textlink="">
      <xdr:nvSpPr>
        <xdr:cNvPr id="93" name="AutoShape 112" descr="🇮🇷">
          <a:extLst>
            <a:ext uri="{FF2B5EF4-FFF2-40B4-BE49-F238E27FC236}">
              <a16:creationId xmlns:a16="http://schemas.microsoft.com/office/drawing/2014/main" id="{BA3335A2-482D-4051-8EDD-715D06DCDC4A}"/>
            </a:ext>
          </a:extLst>
        </xdr:cNvPr>
        <xdr:cNvSpPr>
          <a:spLocks noChangeAspect="1" noChangeArrowheads="1"/>
        </xdr:cNvSpPr>
      </xdr:nvSpPr>
      <xdr:spPr bwMode="auto">
        <a:xfrm>
          <a:off x="9989343750" y="800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314325</xdr:colOff>
      <xdr:row>44</xdr:row>
      <xdr:rowOff>0</xdr:rowOff>
    </xdr:from>
    <xdr:to>
      <xdr:col>4</xdr:col>
      <xdr:colOff>628650</xdr:colOff>
      <xdr:row>45</xdr:row>
      <xdr:rowOff>62955</xdr:rowOff>
    </xdr:to>
    <xdr:sp macro="" textlink="">
      <xdr:nvSpPr>
        <xdr:cNvPr id="94" name="AutoShape 113" descr="🇱🇧">
          <a:extLst>
            <a:ext uri="{FF2B5EF4-FFF2-40B4-BE49-F238E27FC236}">
              <a16:creationId xmlns:a16="http://schemas.microsoft.com/office/drawing/2014/main" id="{FBD4F09E-42B9-48C8-AB51-5B780E943293}"/>
            </a:ext>
          </a:extLst>
        </xdr:cNvPr>
        <xdr:cNvSpPr>
          <a:spLocks noChangeAspect="1" noChangeArrowheads="1"/>
        </xdr:cNvSpPr>
      </xdr:nvSpPr>
      <xdr:spPr bwMode="auto">
        <a:xfrm>
          <a:off x="9989029425" y="800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628650</xdr:colOff>
      <xdr:row>44</xdr:row>
      <xdr:rowOff>0</xdr:rowOff>
    </xdr:from>
    <xdr:to>
      <xdr:col>4</xdr:col>
      <xdr:colOff>929640</xdr:colOff>
      <xdr:row>45</xdr:row>
      <xdr:rowOff>62955</xdr:rowOff>
    </xdr:to>
    <xdr:sp macro="" textlink="">
      <xdr:nvSpPr>
        <xdr:cNvPr id="95" name="AutoShape 114" descr="🏴‍☠">
          <a:extLst>
            <a:ext uri="{FF2B5EF4-FFF2-40B4-BE49-F238E27FC236}">
              <a16:creationId xmlns:a16="http://schemas.microsoft.com/office/drawing/2014/main" id="{7A65BFD7-39C5-4906-8D4F-39BC8B26AA6E}"/>
            </a:ext>
          </a:extLst>
        </xdr:cNvPr>
        <xdr:cNvSpPr>
          <a:spLocks noChangeAspect="1" noChangeArrowheads="1"/>
        </xdr:cNvSpPr>
      </xdr:nvSpPr>
      <xdr:spPr bwMode="auto">
        <a:xfrm>
          <a:off x="9988715100" y="800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127</xdr:row>
      <xdr:rowOff>0</xdr:rowOff>
    </xdr:from>
    <xdr:to>
      <xdr:col>4</xdr:col>
      <xdr:colOff>304800</xdr:colOff>
      <xdr:row>128</xdr:row>
      <xdr:rowOff>53884</xdr:rowOff>
    </xdr:to>
    <xdr:sp macro="" textlink="">
      <xdr:nvSpPr>
        <xdr:cNvPr id="96" name="AutoShape 32">
          <a:extLst>
            <a:ext uri="{FF2B5EF4-FFF2-40B4-BE49-F238E27FC236}">
              <a16:creationId xmlns:a16="http://schemas.microsoft.com/office/drawing/2014/main" id="{CB7CAD6C-022F-4B85-A91D-A9A9A718EE01}"/>
            </a:ext>
          </a:extLst>
        </xdr:cNvPr>
        <xdr:cNvSpPr>
          <a:spLocks noChangeAspect="1" noChangeArrowheads="1"/>
        </xdr:cNvSpPr>
      </xdr:nvSpPr>
      <xdr:spPr bwMode="auto">
        <a:xfrm>
          <a:off x="9989343750" y="23812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128</xdr:row>
      <xdr:rowOff>0</xdr:rowOff>
    </xdr:from>
    <xdr:to>
      <xdr:col>4</xdr:col>
      <xdr:colOff>304800</xdr:colOff>
      <xdr:row>129</xdr:row>
      <xdr:rowOff>62956</xdr:rowOff>
    </xdr:to>
    <xdr:sp macro="" textlink="">
      <xdr:nvSpPr>
        <xdr:cNvPr id="97" name="AutoShape 18" descr="👈">
          <a:extLst>
            <a:ext uri="{FF2B5EF4-FFF2-40B4-BE49-F238E27FC236}">
              <a16:creationId xmlns:a16="http://schemas.microsoft.com/office/drawing/2014/main" id="{9DB6CB82-E1F9-4721-9F77-C5F5A88DA286}"/>
            </a:ext>
          </a:extLst>
        </xdr:cNvPr>
        <xdr:cNvSpPr>
          <a:spLocks noChangeAspect="1" noChangeArrowheads="1"/>
        </xdr:cNvSpPr>
      </xdr:nvSpPr>
      <xdr:spPr bwMode="auto">
        <a:xfrm>
          <a:off x="9989343750" y="2400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155</xdr:row>
      <xdr:rowOff>0</xdr:rowOff>
    </xdr:from>
    <xdr:to>
      <xdr:col>4</xdr:col>
      <xdr:colOff>304800</xdr:colOff>
      <xdr:row>156</xdr:row>
      <xdr:rowOff>62955</xdr:rowOff>
    </xdr:to>
    <xdr:sp macro="" textlink="">
      <xdr:nvSpPr>
        <xdr:cNvPr id="98" name="AutoShape 1">
          <a:extLst>
            <a:ext uri="{FF2B5EF4-FFF2-40B4-BE49-F238E27FC236}">
              <a16:creationId xmlns:a16="http://schemas.microsoft.com/office/drawing/2014/main" id="{8ABA99D2-2E6B-4AF8-94AC-47F65C3F8317}"/>
            </a:ext>
          </a:extLst>
        </xdr:cNvPr>
        <xdr:cNvSpPr>
          <a:spLocks noChangeAspect="1" noChangeArrowheads="1"/>
        </xdr:cNvSpPr>
      </xdr:nvSpPr>
      <xdr:spPr bwMode="auto">
        <a:xfrm>
          <a:off x="9989343750" y="29146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164</xdr:row>
      <xdr:rowOff>0</xdr:rowOff>
    </xdr:from>
    <xdr:to>
      <xdr:col>4</xdr:col>
      <xdr:colOff>304800</xdr:colOff>
      <xdr:row>165</xdr:row>
      <xdr:rowOff>53883</xdr:rowOff>
    </xdr:to>
    <xdr:sp macro="" textlink="">
      <xdr:nvSpPr>
        <xdr:cNvPr id="99" name="AutoShape 3">
          <a:extLst>
            <a:ext uri="{FF2B5EF4-FFF2-40B4-BE49-F238E27FC236}">
              <a16:creationId xmlns:a16="http://schemas.microsoft.com/office/drawing/2014/main" id="{4C8656F3-E379-4539-8060-5FDA0985114D}"/>
            </a:ext>
          </a:extLst>
        </xdr:cNvPr>
        <xdr:cNvSpPr>
          <a:spLocks noChangeAspect="1" noChangeArrowheads="1"/>
        </xdr:cNvSpPr>
      </xdr:nvSpPr>
      <xdr:spPr bwMode="auto">
        <a:xfrm>
          <a:off x="9989343750" y="3086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143</xdr:row>
      <xdr:rowOff>0</xdr:rowOff>
    </xdr:from>
    <xdr:to>
      <xdr:col>4</xdr:col>
      <xdr:colOff>304800</xdr:colOff>
      <xdr:row>144</xdr:row>
      <xdr:rowOff>62955</xdr:rowOff>
    </xdr:to>
    <xdr:sp macro="" textlink="">
      <xdr:nvSpPr>
        <xdr:cNvPr id="100" name="AutoShape 5">
          <a:extLst>
            <a:ext uri="{FF2B5EF4-FFF2-40B4-BE49-F238E27FC236}">
              <a16:creationId xmlns:a16="http://schemas.microsoft.com/office/drawing/2014/main" id="{C8D07B36-E120-41A3-84EB-E8ADA0B50F0B}"/>
            </a:ext>
          </a:extLst>
        </xdr:cNvPr>
        <xdr:cNvSpPr>
          <a:spLocks noChangeAspect="1" noChangeArrowheads="1"/>
        </xdr:cNvSpPr>
      </xdr:nvSpPr>
      <xdr:spPr bwMode="auto">
        <a:xfrm>
          <a:off x="9989343750" y="26860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47</xdr:row>
      <xdr:rowOff>0</xdr:rowOff>
    </xdr:from>
    <xdr:to>
      <xdr:col>4</xdr:col>
      <xdr:colOff>304800</xdr:colOff>
      <xdr:row>48</xdr:row>
      <xdr:rowOff>62955</xdr:rowOff>
    </xdr:to>
    <xdr:sp macro="" textlink="">
      <xdr:nvSpPr>
        <xdr:cNvPr id="101" name="AutoShape 8">
          <a:extLst>
            <a:ext uri="{FF2B5EF4-FFF2-40B4-BE49-F238E27FC236}">
              <a16:creationId xmlns:a16="http://schemas.microsoft.com/office/drawing/2014/main" id="{D0C7E2C7-9E2F-450A-9819-986E2D64CF7D}"/>
            </a:ext>
          </a:extLst>
        </xdr:cNvPr>
        <xdr:cNvSpPr>
          <a:spLocks noChangeAspect="1" noChangeArrowheads="1"/>
        </xdr:cNvSpPr>
      </xdr:nvSpPr>
      <xdr:spPr bwMode="auto">
        <a:xfrm>
          <a:off x="9989343750" y="8572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111</xdr:row>
      <xdr:rowOff>0</xdr:rowOff>
    </xdr:from>
    <xdr:to>
      <xdr:col>4</xdr:col>
      <xdr:colOff>304800</xdr:colOff>
      <xdr:row>112</xdr:row>
      <xdr:rowOff>62956</xdr:rowOff>
    </xdr:to>
    <xdr:sp macro="" textlink="">
      <xdr:nvSpPr>
        <xdr:cNvPr id="102" name="AutoShape 14">
          <a:extLst>
            <a:ext uri="{FF2B5EF4-FFF2-40B4-BE49-F238E27FC236}">
              <a16:creationId xmlns:a16="http://schemas.microsoft.com/office/drawing/2014/main" id="{FAEF5D27-5FD6-4BE8-850D-E151DC4DC959}"/>
            </a:ext>
          </a:extLst>
        </xdr:cNvPr>
        <xdr:cNvSpPr>
          <a:spLocks noChangeAspect="1" noChangeArrowheads="1"/>
        </xdr:cNvSpPr>
      </xdr:nvSpPr>
      <xdr:spPr bwMode="auto">
        <a:xfrm>
          <a:off x="9989343750" y="20764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74</xdr:row>
      <xdr:rowOff>0</xdr:rowOff>
    </xdr:from>
    <xdr:to>
      <xdr:col>4</xdr:col>
      <xdr:colOff>304800</xdr:colOff>
      <xdr:row>75</xdr:row>
      <xdr:rowOff>62956</xdr:rowOff>
    </xdr:to>
    <xdr:sp macro="" textlink="">
      <xdr:nvSpPr>
        <xdr:cNvPr id="103" name="AutoShape 57" descr="✅">
          <a:extLst>
            <a:ext uri="{FF2B5EF4-FFF2-40B4-BE49-F238E27FC236}">
              <a16:creationId xmlns:a16="http://schemas.microsoft.com/office/drawing/2014/main" id="{3DE068F1-4995-470F-9748-EAD3B9D3FF0E}"/>
            </a:ext>
          </a:extLst>
        </xdr:cNvPr>
        <xdr:cNvSpPr>
          <a:spLocks noChangeAspect="1" noChangeArrowheads="1"/>
        </xdr:cNvSpPr>
      </xdr:nvSpPr>
      <xdr:spPr bwMode="auto">
        <a:xfrm>
          <a:off x="9989343750" y="13716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48</xdr:row>
      <xdr:rowOff>0</xdr:rowOff>
    </xdr:from>
    <xdr:to>
      <xdr:col>4</xdr:col>
      <xdr:colOff>304800</xdr:colOff>
      <xdr:row>49</xdr:row>
      <xdr:rowOff>62956</xdr:rowOff>
    </xdr:to>
    <xdr:sp macro="" textlink="">
      <xdr:nvSpPr>
        <xdr:cNvPr id="104" name="AutoShape 62" descr="⭕️">
          <a:extLst>
            <a:ext uri="{FF2B5EF4-FFF2-40B4-BE49-F238E27FC236}">
              <a16:creationId xmlns:a16="http://schemas.microsoft.com/office/drawing/2014/main" id="{3F5659FF-A488-43CF-BAD0-28226AEF1694}"/>
            </a:ext>
          </a:extLst>
        </xdr:cNvPr>
        <xdr:cNvSpPr>
          <a:spLocks noChangeAspect="1" noChangeArrowheads="1"/>
        </xdr:cNvSpPr>
      </xdr:nvSpPr>
      <xdr:spPr bwMode="auto">
        <a:xfrm>
          <a:off x="9989343750" y="876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49</xdr:row>
      <xdr:rowOff>0</xdr:rowOff>
    </xdr:from>
    <xdr:to>
      <xdr:col>4</xdr:col>
      <xdr:colOff>304800</xdr:colOff>
      <xdr:row>50</xdr:row>
      <xdr:rowOff>62955</xdr:rowOff>
    </xdr:to>
    <xdr:sp macro="" textlink="">
      <xdr:nvSpPr>
        <xdr:cNvPr id="105" name="AutoShape 94">
          <a:extLst>
            <a:ext uri="{FF2B5EF4-FFF2-40B4-BE49-F238E27FC236}">
              <a16:creationId xmlns:a16="http://schemas.microsoft.com/office/drawing/2014/main" id="{199054DA-BFC5-47FD-BF0A-AD94E6C2BC2C}"/>
            </a:ext>
          </a:extLst>
        </xdr:cNvPr>
        <xdr:cNvSpPr>
          <a:spLocks noChangeAspect="1" noChangeArrowheads="1"/>
        </xdr:cNvSpPr>
      </xdr:nvSpPr>
      <xdr:spPr bwMode="auto">
        <a:xfrm>
          <a:off x="9989343750" y="8953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202</xdr:row>
      <xdr:rowOff>0</xdr:rowOff>
    </xdr:from>
    <xdr:to>
      <xdr:col>4</xdr:col>
      <xdr:colOff>19050</xdr:colOff>
      <xdr:row>202</xdr:row>
      <xdr:rowOff>19050</xdr:rowOff>
    </xdr:to>
    <xdr:pic>
      <xdr:nvPicPr>
        <xdr:cNvPr id="106" name="Picture 105" descr="⭕️">
          <a:extLst>
            <a:ext uri="{FF2B5EF4-FFF2-40B4-BE49-F238E27FC236}">
              <a16:creationId xmlns:a16="http://schemas.microsoft.com/office/drawing/2014/main" id="{0FD4A198-943F-40D8-9625-81526AD063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0877275" y="7162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10</xdr:col>
      <xdr:colOff>0</xdr:colOff>
      <xdr:row>92</xdr:row>
      <xdr:rowOff>0</xdr:rowOff>
    </xdr:from>
    <xdr:ext cx="9525" cy="9525"/>
    <xdr:pic>
      <xdr:nvPicPr>
        <xdr:cNvPr id="107" name="Picture 106" descr="🔴">
          <a:extLst>
            <a:ext uri="{FF2B5EF4-FFF2-40B4-BE49-F238E27FC236}">
              <a16:creationId xmlns:a16="http://schemas.microsoft.com/office/drawing/2014/main" id="{0F3006EC-DDC3-4F2A-8F84-258886BA8B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8638900" y="2105025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266</xdr:row>
      <xdr:rowOff>0</xdr:rowOff>
    </xdr:from>
    <xdr:ext cx="9525" cy="9525"/>
    <xdr:pic>
      <xdr:nvPicPr>
        <xdr:cNvPr id="108" name="Picture 107" descr="⭕️">
          <a:extLst>
            <a:ext uri="{FF2B5EF4-FFF2-40B4-BE49-F238E27FC236}">
              <a16:creationId xmlns:a16="http://schemas.microsoft.com/office/drawing/2014/main" id="{F6637192-EBA6-44F6-AC46-6CD76F901F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8638900" y="591693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0</xdr:colOff>
      <xdr:row>11</xdr:row>
      <xdr:rowOff>0</xdr:rowOff>
    </xdr:from>
    <xdr:ext cx="304800" cy="304800"/>
    <xdr:sp macro="" textlink="">
      <xdr:nvSpPr>
        <xdr:cNvPr id="109" name="AutoShape 12" descr="🔴">
          <a:extLst>
            <a:ext uri="{FF2B5EF4-FFF2-40B4-BE49-F238E27FC236}">
              <a16:creationId xmlns:a16="http://schemas.microsoft.com/office/drawing/2014/main" id="{AA57A683-925E-4C53-AE6F-D5FB0D414193}"/>
            </a:ext>
          </a:extLst>
        </xdr:cNvPr>
        <xdr:cNvSpPr>
          <a:spLocks noChangeAspect="1" noChangeArrowheads="1"/>
        </xdr:cNvSpPr>
      </xdr:nvSpPr>
      <xdr:spPr bwMode="auto">
        <a:xfrm>
          <a:off x="9988343625" y="330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91</xdr:row>
      <xdr:rowOff>0</xdr:rowOff>
    </xdr:from>
    <xdr:ext cx="304800" cy="304800"/>
    <xdr:sp macro="" textlink="">
      <xdr:nvSpPr>
        <xdr:cNvPr id="110" name="AutoShape 18" descr="📹">
          <a:extLst>
            <a:ext uri="{FF2B5EF4-FFF2-40B4-BE49-F238E27FC236}">
              <a16:creationId xmlns:a16="http://schemas.microsoft.com/office/drawing/2014/main" id="{FEF833C2-651F-40FD-8371-3365B7AEA9C9}"/>
            </a:ext>
          </a:extLst>
        </xdr:cNvPr>
        <xdr:cNvSpPr>
          <a:spLocks noChangeAspect="1" noChangeArrowheads="1"/>
        </xdr:cNvSpPr>
      </xdr:nvSpPr>
      <xdr:spPr bwMode="auto">
        <a:xfrm>
          <a:off x="9988343625" y="2083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145</xdr:row>
      <xdr:rowOff>0</xdr:rowOff>
    </xdr:from>
    <xdr:ext cx="304800" cy="304800"/>
    <xdr:sp macro="" textlink="">
      <xdr:nvSpPr>
        <xdr:cNvPr id="111" name="AutoShape 21" descr="🔸">
          <a:extLst>
            <a:ext uri="{FF2B5EF4-FFF2-40B4-BE49-F238E27FC236}">
              <a16:creationId xmlns:a16="http://schemas.microsoft.com/office/drawing/2014/main" id="{1EAFF8D9-17F1-4C62-BD5B-A1830CB82295}"/>
            </a:ext>
          </a:extLst>
        </xdr:cNvPr>
        <xdr:cNvSpPr>
          <a:spLocks noChangeAspect="1" noChangeArrowheads="1"/>
        </xdr:cNvSpPr>
      </xdr:nvSpPr>
      <xdr:spPr bwMode="auto">
        <a:xfrm>
          <a:off x="9988343625" y="3266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9</xdr:col>
      <xdr:colOff>904875</xdr:colOff>
      <xdr:row>76</xdr:row>
      <xdr:rowOff>0</xdr:rowOff>
    </xdr:from>
    <xdr:ext cx="304799" cy="304800"/>
    <xdr:sp macro="" textlink="">
      <xdr:nvSpPr>
        <xdr:cNvPr id="112" name="AutoShape 8" descr="🔹">
          <a:extLst>
            <a:ext uri="{FF2B5EF4-FFF2-40B4-BE49-F238E27FC236}">
              <a16:creationId xmlns:a16="http://schemas.microsoft.com/office/drawing/2014/main" id="{19C15240-BCDB-425E-9027-9183DAA4405D}"/>
            </a:ext>
          </a:extLst>
        </xdr:cNvPr>
        <xdr:cNvSpPr>
          <a:spLocks noChangeAspect="1" noChangeArrowheads="1"/>
        </xdr:cNvSpPr>
      </xdr:nvSpPr>
      <xdr:spPr bwMode="auto">
        <a:xfrm>
          <a:off x="9988419826" y="17545050"/>
          <a:ext cx="304799"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16</xdr:row>
      <xdr:rowOff>0</xdr:rowOff>
    </xdr:from>
    <xdr:ext cx="304800" cy="304800"/>
    <xdr:sp macro="" textlink="">
      <xdr:nvSpPr>
        <xdr:cNvPr id="113" name="AutoShape 57" descr="📷">
          <a:extLst>
            <a:ext uri="{FF2B5EF4-FFF2-40B4-BE49-F238E27FC236}">
              <a16:creationId xmlns:a16="http://schemas.microsoft.com/office/drawing/2014/main" id="{42D180CD-6592-4EA3-9C88-9F515B90054D}"/>
            </a:ext>
          </a:extLst>
        </xdr:cNvPr>
        <xdr:cNvSpPr>
          <a:spLocks noChangeAspect="1" noChangeArrowheads="1"/>
        </xdr:cNvSpPr>
      </xdr:nvSpPr>
      <xdr:spPr bwMode="auto">
        <a:xfrm>
          <a:off x="9988343625" y="440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114</xdr:row>
      <xdr:rowOff>0</xdr:rowOff>
    </xdr:from>
    <xdr:ext cx="304800" cy="304800"/>
    <xdr:sp macro="" textlink="">
      <xdr:nvSpPr>
        <xdr:cNvPr id="114" name="AutoShape 67">
          <a:extLst>
            <a:ext uri="{FF2B5EF4-FFF2-40B4-BE49-F238E27FC236}">
              <a16:creationId xmlns:a16="http://schemas.microsoft.com/office/drawing/2014/main" id="{0E861585-577E-4393-8D37-69C0A8B66C68}"/>
            </a:ext>
          </a:extLst>
        </xdr:cNvPr>
        <xdr:cNvSpPr>
          <a:spLocks noChangeAspect="1" noChangeArrowheads="1"/>
        </xdr:cNvSpPr>
      </xdr:nvSpPr>
      <xdr:spPr bwMode="auto">
        <a:xfrm>
          <a:off x="9988343625" y="2586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116</xdr:row>
      <xdr:rowOff>0</xdr:rowOff>
    </xdr:from>
    <xdr:ext cx="304800" cy="304800"/>
    <xdr:sp macro="" textlink="">
      <xdr:nvSpPr>
        <xdr:cNvPr id="115" name="AutoShape 44" descr="🔺">
          <a:extLst>
            <a:ext uri="{FF2B5EF4-FFF2-40B4-BE49-F238E27FC236}">
              <a16:creationId xmlns:a16="http://schemas.microsoft.com/office/drawing/2014/main" id="{ABF1D694-2405-4718-BBA1-F2699830A05B}"/>
            </a:ext>
          </a:extLst>
        </xdr:cNvPr>
        <xdr:cNvSpPr>
          <a:spLocks noChangeAspect="1" noChangeArrowheads="1"/>
        </xdr:cNvSpPr>
      </xdr:nvSpPr>
      <xdr:spPr bwMode="auto">
        <a:xfrm>
          <a:off x="9988343625" y="26308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117</xdr:row>
      <xdr:rowOff>0</xdr:rowOff>
    </xdr:from>
    <xdr:ext cx="304800" cy="304800"/>
    <xdr:sp macro="" textlink="">
      <xdr:nvSpPr>
        <xdr:cNvPr id="116" name="AutoShape 97" descr="📹">
          <a:extLst>
            <a:ext uri="{FF2B5EF4-FFF2-40B4-BE49-F238E27FC236}">
              <a16:creationId xmlns:a16="http://schemas.microsoft.com/office/drawing/2014/main" id="{055FFE68-1D2E-4757-A4BC-F6B65DDFE7B5}"/>
            </a:ext>
          </a:extLst>
        </xdr:cNvPr>
        <xdr:cNvSpPr>
          <a:spLocks noChangeAspect="1" noChangeArrowheads="1"/>
        </xdr:cNvSpPr>
      </xdr:nvSpPr>
      <xdr:spPr bwMode="auto">
        <a:xfrm>
          <a:off x="9988343625" y="2652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132</xdr:row>
      <xdr:rowOff>0</xdr:rowOff>
    </xdr:from>
    <xdr:ext cx="304800" cy="304800"/>
    <xdr:sp macro="" textlink="">
      <xdr:nvSpPr>
        <xdr:cNvPr id="117" name="AutoShape 114" descr="📌">
          <a:extLst>
            <a:ext uri="{FF2B5EF4-FFF2-40B4-BE49-F238E27FC236}">
              <a16:creationId xmlns:a16="http://schemas.microsoft.com/office/drawing/2014/main" id="{5847E9DC-8D02-4EAC-8E68-0868D57EB216}"/>
            </a:ext>
          </a:extLst>
        </xdr:cNvPr>
        <xdr:cNvSpPr>
          <a:spLocks noChangeAspect="1" noChangeArrowheads="1"/>
        </xdr:cNvSpPr>
      </xdr:nvSpPr>
      <xdr:spPr bwMode="auto">
        <a:xfrm>
          <a:off x="9988343625" y="2981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133</xdr:row>
      <xdr:rowOff>0</xdr:rowOff>
    </xdr:from>
    <xdr:ext cx="304800" cy="304800"/>
    <xdr:sp macro="" textlink="">
      <xdr:nvSpPr>
        <xdr:cNvPr id="118" name="AutoShape 116" descr="📌">
          <a:extLst>
            <a:ext uri="{FF2B5EF4-FFF2-40B4-BE49-F238E27FC236}">
              <a16:creationId xmlns:a16="http://schemas.microsoft.com/office/drawing/2014/main" id="{E6B0D133-73A3-48D9-88CF-04B56EDF8ACD}"/>
            </a:ext>
          </a:extLst>
        </xdr:cNvPr>
        <xdr:cNvSpPr>
          <a:spLocks noChangeAspect="1" noChangeArrowheads="1"/>
        </xdr:cNvSpPr>
      </xdr:nvSpPr>
      <xdr:spPr bwMode="auto">
        <a:xfrm>
          <a:off x="9988343625" y="30032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23</xdr:row>
      <xdr:rowOff>0</xdr:rowOff>
    </xdr:from>
    <xdr:ext cx="304800" cy="304800"/>
    <xdr:sp macro="" textlink="">
      <xdr:nvSpPr>
        <xdr:cNvPr id="119" name="AutoShape 119" descr="📌">
          <a:extLst>
            <a:ext uri="{FF2B5EF4-FFF2-40B4-BE49-F238E27FC236}">
              <a16:creationId xmlns:a16="http://schemas.microsoft.com/office/drawing/2014/main" id="{A1976108-877A-4394-A85A-DA99D63A61A8}"/>
            </a:ext>
          </a:extLst>
        </xdr:cNvPr>
        <xdr:cNvSpPr>
          <a:spLocks noChangeAspect="1" noChangeArrowheads="1"/>
        </xdr:cNvSpPr>
      </xdr:nvSpPr>
      <xdr:spPr bwMode="auto">
        <a:xfrm>
          <a:off x="9988343625" y="593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96</xdr:row>
      <xdr:rowOff>0</xdr:rowOff>
    </xdr:from>
    <xdr:ext cx="304800" cy="304800"/>
    <xdr:sp macro="" textlink="">
      <xdr:nvSpPr>
        <xdr:cNvPr id="120" name="AutoShape 126" descr="👈">
          <a:extLst>
            <a:ext uri="{FF2B5EF4-FFF2-40B4-BE49-F238E27FC236}">
              <a16:creationId xmlns:a16="http://schemas.microsoft.com/office/drawing/2014/main" id="{F044EB9B-44DB-4739-97D2-0929150CB0D2}"/>
            </a:ext>
          </a:extLst>
        </xdr:cNvPr>
        <xdr:cNvSpPr>
          <a:spLocks noChangeAspect="1" noChangeArrowheads="1"/>
        </xdr:cNvSpPr>
      </xdr:nvSpPr>
      <xdr:spPr bwMode="auto">
        <a:xfrm>
          <a:off x="9988343625" y="2192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56</xdr:row>
      <xdr:rowOff>0</xdr:rowOff>
    </xdr:from>
    <xdr:ext cx="304800" cy="304800"/>
    <xdr:sp macro="" textlink="">
      <xdr:nvSpPr>
        <xdr:cNvPr id="121" name="AutoShape 127" descr="👈">
          <a:extLst>
            <a:ext uri="{FF2B5EF4-FFF2-40B4-BE49-F238E27FC236}">
              <a16:creationId xmlns:a16="http://schemas.microsoft.com/office/drawing/2014/main" id="{FC1872BD-C631-45F0-96B7-F5141384425F}"/>
            </a:ext>
          </a:extLst>
        </xdr:cNvPr>
        <xdr:cNvSpPr>
          <a:spLocks noChangeAspect="1" noChangeArrowheads="1"/>
        </xdr:cNvSpPr>
      </xdr:nvSpPr>
      <xdr:spPr bwMode="auto">
        <a:xfrm>
          <a:off x="9988343625" y="1316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24</xdr:row>
      <xdr:rowOff>0</xdr:rowOff>
    </xdr:from>
    <xdr:ext cx="304800" cy="304800"/>
    <xdr:sp macro="" textlink="">
      <xdr:nvSpPr>
        <xdr:cNvPr id="122" name="AutoShape 1" descr="✅">
          <a:extLst>
            <a:ext uri="{FF2B5EF4-FFF2-40B4-BE49-F238E27FC236}">
              <a16:creationId xmlns:a16="http://schemas.microsoft.com/office/drawing/2014/main" id="{4A9E76AF-64FD-4487-AE9B-BD620B909C7B}"/>
            </a:ext>
          </a:extLst>
        </xdr:cNvPr>
        <xdr:cNvSpPr>
          <a:spLocks noChangeAspect="1" noChangeArrowheads="1"/>
        </xdr:cNvSpPr>
      </xdr:nvSpPr>
      <xdr:spPr bwMode="auto">
        <a:xfrm>
          <a:off x="9988343625" y="615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135</xdr:row>
      <xdr:rowOff>0</xdr:rowOff>
    </xdr:from>
    <xdr:ext cx="304800" cy="304800"/>
    <xdr:sp macro="" textlink="">
      <xdr:nvSpPr>
        <xdr:cNvPr id="123" name="AutoShape 4" descr="🔹">
          <a:extLst>
            <a:ext uri="{FF2B5EF4-FFF2-40B4-BE49-F238E27FC236}">
              <a16:creationId xmlns:a16="http://schemas.microsoft.com/office/drawing/2014/main" id="{83A7E585-483D-477B-B350-8A3FBEEF6E05}"/>
            </a:ext>
          </a:extLst>
        </xdr:cNvPr>
        <xdr:cNvSpPr>
          <a:spLocks noChangeAspect="1" noChangeArrowheads="1"/>
        </xdr:cNvSpPr>
      </xdr:nvSpPr>
      <xdr:spPr bwMode="auto">
        <a:xfrm>
          <a:off x="9988343625" y="30470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25</xdr:row>
      <xdr:rowOff>0</xdr:rowOff>
    </xdr:from>
    <xdr:ext cx="304800" cy="304800"/>
    <xdr:sp macro="" textlink="">
      <xdr:nvSpPr>
        <xdr:cNvPr id="124" name="AutoShape 14" descr="📌">
          <a:extLst>
            <a:ext uri="{FF2B5EF4-FFF2-40B4-BE49-F238E27FC236}">
              <a16:creationId xmlns:a16="http://schemas.microsoft.com/office/drawing/2014/main" id="{0492CF02-79E6-48C4-80A6-B296F592E1BA}"/>
            </a:ext>
          </a:extLst>
        </xdr:cNvPr>
        <xdr:cNvSpPr>
          <a:spLocks noChangeAspect="1" noChangeArrowheads="1"/>
        </xdr:cNvSpPr>
      </xdr:nvSpPr>
      <xdr:spPr bwMode="auto">
        <a:xfrm>
          <a:off x="9988343625" y="637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26</xdr:row>
      <xdr:rowOff>0</xdr:rowOff>
    </xdr:from>
    <xdr:ext cx="304800" cy="304800"/>
    <xdr:sp macro="" textlink="">
      <xdr:nvSpPr>
        <xdr:cNvPr id="125" name="AutoShape 15" descr="📌">
          <a:extLst>
            <a:ext uri="{FF2B5EF4-FFF2-40B4-BE49-F238E27FC236}">
              <a16:creationId xmlns:a16="http://schemas.microsoft.com/office/drawing/2014/main" id="{D8E1D369-402E-491C-A08A-B5A339DB9035}"/>
            </a:ext>
          </a:extLst>
        </xdr:cNvPr>
        <xdr:cNvSpPr>
          <a:spLocks noChangeAspect="1" noChangeArrowheads="1"/>
        </xdr:cNvSpPr>
      </xdr:nvSpPr>
      <xdr:spPr bwMode="auto">
        <a:xfrm>
          <a:off x="9988343625" y="659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79</xdr:row>
      <xdr:rowOff>0</xdr:rowOff>
    </xdr:from>
    <xdr:ext cx="304800" cy="304800"/>
    <xdr:sp macro="" textlink="">
      <xdr:nvSpPr>
        <xdr:cNvPr id="126" name="AutoShape 17" descr="📌">
          <a:extLst>
            <a:ext uri="{FF2B5EF4-FFF2-40B4-BE49-F238E27FC236}">
              <a16:creationId xmlns:a16="http://schemas.microsoft.com/office/drawing/2014/main" id="{DAF1A7D0-E929-4385-9384-E09E23FF0E56}"/>
            </a:ext>
          </a:extLst>
        </xdr:cNvPr>
        <xdr:cNvSpPr>
          <a:spLocks noChangeAspect="1" noChangeArrowheads="1"/>
        </xdr:cNvSpPr>
      </xdr:nvSpPr>
      <xdr:spPr bwMode="auto">
        <a:xfrm>
          <a:off x="9988343625" y="1820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156</xdr:row>
      <xdr:rowOff>0</xdr:rowOff>
    </xdr:from>
    <xdr:ext cx="304800" cy="304800"/>
    <xdr:sp macro="" textlink="">
      <xdr:nvSpPr>
        <xdr:cNvPr id="127" name="AutoShape 19" descr="📌">
          <a:extLst>
            <a:ext uri="{FF2B5EF4-FFF2-40B4-BE49-F238E27FC236}">
              <a16:creationId xmlns:a16="http://schemas.microsoft.com/office/drawing/2014/main" id="{7F846E8B-6321-4283-A9A6-26820603A33E}"/>
            </a:ext>
          </a:extLst>
        </xdr:cNvPr>
        <xdr:cNvSpPr>
          <a:spLocks noChangeAspect="1" noChangeArrowheads="1"/>
        </xdr:cNvSpPr>
      </xdr:nvSpPr>
      <xdr:spPr bwMode="auto">
        <a:xfrm>
          <a:off x="9988343625" y="3507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176</xdr:row>
      <xdr:rowOff>0</xdr:rowOff>
    </xdr:from>
    <xdr:ext cx="304800" cy="304800"/>
    <xdr:sp macro="" textlink="">
      <xdr:nvSpPr>
        <xdr:cNvPr id="128" name="AutoShape 68" descr="🎥">
          <a:extLst>
            <a:ext uri="{FF2B5EF4-FFF2-40B4-BE49-F238E27FC236}">
              <a16:creationId xmlns:a16="http://schemas.microsoft.com/office/drawing/2014/main" id="{9300FC00-3EF5-4F1E-864B-A2FA8F5478BF}"/>
            </a:ext>
          </a:extLst>
        </xdr:cNvPr>
        <xdr:cNvSpPr>
          <a:spLocks noChangeAspect="1" noChangeArrowheads="1"/>
        </xdr:cNvSpPr>
      </xdr:nvSpPr>
      <xdr:spPr bwMode="auto">
        <a:xfrm>
          <a:off x="9988343625" y="3945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119</xdr:row>
      <xdr:rowOff>0</xdr:rowOff>
    </xdr:from>
    <xdr:ext cx="304800" cy="307975"/>
    <xdr:sp macro="" textlink="">
      <xdr:nvSpPr>
        <xdr:cNvPr id="129" name="AutoShape 15" descr="🔹">
          <a:extLst>
            <a:ext uri="{FF2B5EF4-FFF2-40B4-BE49-F238E27FC236}">
              <a16:creationId xmlns:a16="http://schemas.microsoft.com/office/drawing/2014/main" id="{E0927375-301A-424D-89D2-5BF6F26BBE2A}"/>
            </a:ext>
          </a:extLst>
        </xdr:cNvPr>
        <xdr:cNvSpPr>
          <a:spLocks noChangeAspect="1" noChangeArrowheads="1"/>
        </xdr:cNvSpPr>
      </xdr:nvSpPr>
      <xdr:spPr bwMode="auto">
        <a:xfrm>
          <a:off x="9988343625" y="26965275"/>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40</xdr:row>
      <xdr:rowOff>0</xdr:rowOff>
    </xdr:from>
    <xdr:ext cx="304800" cy="307975"/>
    <xdr:sp macro="" textlink="">
      <xdr:nvSpPr>
        <xdr:cNvPr id="130" name="AutoShape 41" descr="📌">
          <a:extLst>
            <a:ext uri="{FF2B5EF4-FFF2-40B4-BE49-F238E27FC236}">
              <a16:creationId xmlns:a16="http://schemas.microsoft.com/office/drawing/2014/main" id="{C9198371-02D6-4DA0-88C9-8ED4363449EC}"/>
            </a:ext>
          </a:extLst>
        </xdr:cNvPr>
        <xdr:cNvSpPr>
          <a:spLocks noChangeAspect="1" noChangeArrowheads="1"/>
        </xdr:cNvSpPr>
      </xdr:nvSpPr>
      <xdr:spPr bwMode="auto">
        <a:xfrm>
          <a:off x="9988343625" y="965835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148</xdr:row>
      <xdr:rowOff>0</xdr:rowOff>
    </xdr:from>
    <xdr:ext cx="304800" cy="307975"/>
    <xdr:sp macro="" textlink="">
      <xdr:nvSpPr>
        <xdr:cNvPr id="131" name="AutoShape 58" descr="📌">
          <a:extLst>
            <a:ext uri="{FF2B5EF4-FFF2-40B4-BE49-F238E27FC236}">
              <a16:creationId xmlns:a16="http://schemas.microsoft.com/office/drawing/2014/main" id="{9A3A1483-9560-4B9E-88B8-8E4A99BB20EA}"/>
            </a:ext>
          </a:extLst>
        </xdr:cNvPr>
        <xdr:cNvSpPr>
          <a:spLocks noChangeAspect="1" noChangeArrowheads="1"/>
        </xdr:cNvSpPr>
      </xdr:nvSpPr>
      <xdr:spPr bwMode="auto">
        <a:xfrm>
          <a:off x="9988343625" y="3331845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99</xdr:row>
      <xdr:rowOff>0</xdr:rowOff>
    </xdr:from>
    <xdr:ext cx="304800" cy="307975"/>
    <xdr:sp macro="" textlink="">
      <xdr:nvSpPr>
        <xdr:cNvPr id="132" name="AutoShape 72">
          <a:extLst>
            <a:ext uri="{FF2B5EF4-FFF2-40B4-BE49-F238E27FC236}">
              <a16:creationId xmlns:a16="http://schemas.microsoft.com/office/drawing/2014/main" id="{A9247C44-35CC-4272-98F4-77DACD4F6DBF}"/>
            </a:ext>
          </a:extLst>
        </xdr:cNvPr>
        <xdr:cNvSpPr>
          <a:spLocks noChangeAspect="1" noChangeArrowheads="1"/>
        </xdr:cNvSpPr>
      </xdr:nvSpPr>
      <xdr:spPr bwMode="auto">
        <a:xfrm>
          <a:off x="9988343625" y="22583775"/>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181</xdr:row>
      <xdr:rowOff>0</xdr:rowOff>
    </xdr:from>
    <xdr:ext cx="304800" cy="307975"/>
    <xdr:sp macro="" textlink="">
      <xdr:nvSpPr>
        <xdr:cNvPr id="133" name="AutoShape 116" descr="🔸">
          <a:extLst>
            <a:ext uri="{FF2B5EF4-FFF2-40B4-BE49-F238E27FC236}">
              <a16:creationId xmlns:a16="http://schemas.microsoft.com/office/drawing/2014/main" id="{4205BD4E-186F-4EDE-84A9-5D0983C8BB2C}"/>
            </a:ext>
          </a:extLst>
        </xdr:cNvPr>
        <xdr:cNvSpPr>
          <a:spLocks noChangeAspect="1" noChangeArrowheads="1"/>
        </xdr:cNvSpPr>
      </xdr:nvSpPr>
      <xdr:spPr bwMode="auto">
        <a:xfrm>
          <a:off x="9988343625" y="40547925"/>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33</xdr:row>
      <xdr:rowOff>0</xdr:rowOff>
    </xdr:from>
    <xdr:ext cx="304800" cy="307975"/>
    <xdr:sp macro="" textlink="">
      <xdr:nvSpPr>
        <xdr:cNvPr id="134" name="AutoShape 14" descr="✅">
          <a:extLst>
            <a:ext uri="{FF2B5EF4-FFF2-40B4-BE49-F238E27FC236}">
              <a16:creationId xmlns:a16="http://schemas.microsoft.com/office/drawing/2014/main" id="{FF842AD8-4FD6-4914-ADE3-7EF14E029F14}"/>
            </a:ext>
          </a:extLst>
        </xdr:cNvPr>
        <xdr:cNvSpPr>
          <a:spLocks noChangeAspect="1" noChangeArrowheads="1"/>
        </xdr:cNvSpPr>
      </xdr:nvSpPr>
      <xdr:spPr bwMode="auto">
        <a:xfrm>
          <a:off x="9988343625" y="8124825"/>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33</xdr:row>
      <xdr:rowOff>0</xdr:rowOff>
    </xdr:from>
    <xdr:ext cx="304800" cy="307975"/>
    <xdr:sp macro="" textlink="">
      <xdr:nvSpPr>
        <xdr:cNvPr id="135" name="AutoShape 17" descr="✅">
          <a:extLst>
            <a:ext uri="{FF2B5EF4-FFF2-40B4-BE49-F238E27FC236}">
              <a16:creationId xmlns:a16="http://schemas.microsoft.com/office/drawing/2014/main" id="{CDFE0863-F2D2-46C2-A5C1-E7F1E2A242DD}"/>
            </a:ext>
          </a:extLst>
        </xdr:cNvPr>
        <xdr:cNvSpPr>
          <a:spLocks noChangeAspect="1" noChangeArrowheads="1"/>
        </xdr:cNvSpPr>
      </xdr:nvSpPr>
      <xdr:spPr bwMode="auto">
        <a:xfrm>
          <a:off x="9988343625" y="8124825"/>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149</xdr:row>
      <xdr:rowOff>0</xdr:rowOff>
    </xdr:from>
    <xdr:ext cx="304800" cy="307975"/>
    <xdr:sp macro="" textlink="">
      <xdr:nvSpPr>
        <xdr:cNvPr id="136" name="AutoShape 24">
          <a:extLst>
            <a:ext uri="{FF2B5EF4-FFF2-40B4-BE49-F238E27FC236}">
              <a16:creationId xmlns:a16="http://schemas.microsoft.com/office/drawing/2014/main" id="{F5F28B63-C683-46A7-8EF3-819B4CE86672}"/>
            </a:ext>
          </a:extLst>
        </xdr:cNvPr>
        <xdr:cNvSpPr>
          <a:spLocks noChangeAspect="1" noChangeArrowheads="1"/>
        </xdr:cNvSpPr>
      </xdr:nvSpPr>
      <xdr:spPr bwMode="auto">
        <a:xfrm>
          <a:off x="9988343625" y="33537525"/>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149</xdr:row>
      <xdr:rowOff>0</xdr:rowOff>
    </xdr:from>
    <xdr:ext cx="304800" cy="307975"/>
    <xdr:sp macro="" textlink="">
      <xdr:nvSpPr>
        <xdr:cNvPr id="137" name="AutoShape 28" descr="🔹">
          <a:extLst>
            <a:ext uri="{FF2B5EF4-FFF2-40B4-BE49-F238E27FC236}">
              <a16:creationId xmlns:a16="http://schemas.microsoft.com/office/drawing/2014/main" id="{ADFB39C9-9232-404D-90E1-2F8E4201C261}"/>
            </a:ext>
          </a:extLst>
        </xdr:cNvPr>
        <xdr:cNvSpPr>
          <a:spLocks noChangeAspect="1" noChangeArrowheads="1"/>
        </xdr:cNvSpPr>
      </xdr:nvSpPr>
      <xdr:spPr bwMode="auto">
        <a:xfrm>
          <a:off x="9988343625" y="33537525"/>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188</xdr:row>
      <xdr:rowOff>0</xdr:rowOff>
    </xdr:from>
    <xdr:ext cx="304800" cy="307975"/>
    <xdr:sp macro="" textlink="">
      <xdr:nvSpPr>
        <xdr:cNvPr id="138" name="AutoShape 64">
          <a:extLst>
            <a:ext uri="{FF2B5EF4-FFF2-40B4-BE49-F238E27FC236}">
              <a16:creationId xmlns:a16="http://schemas.microsoft.com/office/drawing/2014/main" id="{E0E9F3D1-CAF8-4DED-B295-BF16C3AC3A51}"/>
            </a:ext>
          </a:extLst>
        </xdr:cNvPr>
        <xdr:cNvSpPr>
          <a:spLocks noChangeAspect="1" noChangeArrowheads="1"/>
        </xdr:cNvSpPr>
      </xdr:nvSpPr>
      <xdr:spPr bwMode="auto">
        <a:xfrm>
          <a:off x="9988343625" y="4208145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189</xdr:row>
      <xdr:rowOff>0</xdr:rowOff>
    </xdr:from>
    <xdr:ext cx="304800" cy="307975"/>
    <xdr:sp macro="" textlink="">
      <xdr:nvSpPr>
        <xdr:cNvPr id="139" name="AutoShape 71">
          <a:extLst>
            <a:ext uri="{FF2B5EF4-FFF2-40B4-BE49-F238E27FC236}">
              <a16:creationId xmlns:a16="http://schemas.microsoft.com/office/drawing/2014/main" id="{F4ED825C-8414-466A-89E6-18187E31C11A}"/>
            </a:ext>
          </a:extLst>
        </xdr:cNvPr>
        <xdr:cNvSpPr>
          <a:spLocks noChangeAspect="1" noChangeArrowheads="1"/>
        </xdr:cNvSpPr>
      </xdr:nvSpPr>
      <xdr:spPr bwMode="auto">
        <a:xfrm>
          <a:off x="9988343625" y="42300525"/>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150</xdr:row>
      <xdr:rowOff>0</xdr:rowOff>
    </xdr:from>
    <xdr:ext cx="304800" cy="307975"/>
    <xdr:sp macro="" textlink="">
      <xdr:nvSpPr>
        <xdr:cNvPr id="140" name="AutoShape 123">
          <a:extLst>
            <a:ext uri="{FF2B5EF4-FFF2-40B4-BE49-F238E27FC236}">
              <a16:creationId xmlns:a16="http://schemas.microsoft.com/office/drawing/2014/main" id="{4FA0CB64-EFE4-41DB-B3A9-3A372349DA00}"/>
            </a:ext>
          </a:extLst>
        </xdr:cNvPr>
        <xdr:cNvSpPr>
          <a:spLocks noChangeAspect="1" noChangeArrowheads="1"/>
        </xdr:cNvSpPr>
      </xdr:nvSpPr>
      <xdr:spPr bwMode="auto">
        <a:xfrm>
          <a:off x="9988343625" y="337566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64</xdr:row>
      <xdr:rowOff>0</xdr:rowOff>
    </xdr:from>
    <xdr:ext cx="304800" cy="307975"/>
    <xdr:sp macro="" textlink="">
      <xdr:nvSpPr>
        <xdr:cNvPr id="141" name="AutoShape 41">
          <a:extLst>
            <a:ext uri="{FF2B5EF4-FFF2-40B4-BE49-F238E27FC236}">
              <a16:creationId xmlns:a16="http://schemas.microsoft.com/office/drawing/2014/main" id="{36136573-4227-4A61-BF3A-B916625F76F6}"/>
            </a:ext>
          </a:extLst>
        </xdr:cNvPr>
        <xdr:cNvSpPr>
          <a:spLocks noChangeAspect="1" noChangeArrowheads="1"/>
        </xdr:cNvSpPr>
      </xdr:nvSpPr>
      <xdr:spPr bwMode="auto">
        <a:xfrm>
          <a:off x="9988343625" y="1491615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83</xdr:row>
      <xdr:rowOff>0</xdr:rowOff>
    </xdr:from>
    <xdr:ext cx="304800" cy="307975"/>
    <xdr:sp macro="" textlink="">
      <xdr:nvSpPr>
        <xdr:cNvPr id="142" name="AutoShape 44" descr="🎥">
          <a:extLst>
            <a:ext uri="{FF2B5EF4-FFF2-40B4-BE49-F238E27FC236}">
              <a16:creationId xmlns:a16="http://schemas.microsoft.com/office/drawing/2014/main" id="{7B64EC09-B7D8-4064-B4C1-6AE1B2A1B0F1}"/>
            </a:ext>
          </a:extLst>
        </xdr:cNvPr>
        <xdr:cNvSpPr>
          <a:spLocks noChangeAspect="1" noChangeArrowheads="1"/>
        </xdr:cNvSpPr>
      </xdr:nvSpPr>
      <xdr:spPr bwMode="auto">
        <a:xfrm>
          <a:off x="9988343625" y="19078575"/>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64</xdr:row>
      <xdr:rowOff>0</xdr:rowOff>
    </xdr:from>
    <xdr:ext cx="304800" cy="307975"/>
    <xdr:sp macro="" textlink="">
      <xdr:nvSpPr>
        <xdr:cNvPr id="143" name="AutoShape 45" descr="🎥">
          <a:extLst>
            <a:ext uri="{FF2B5EF4-FFF2-40B4-BE49-F238E27FC236}">
              <a16:creationId xmlns:a16="http://schemas.microsoft.com/office/drawing/2014/main" id="{3DA361E1-E6B8-428D-9CF2-CDCDF9435188}"/>
            </a:ext>
          </a:extLst>
        </xdr:cNvPr>
        <xdr:cNvSpPr>
          <a:spLocks noChangeAspect="1" noChangeArrowheads="1"/>
        </xdr:cNvSpPr>
      </xdr:nvSpPr>
      <xdr:spPr bwMode="auto">
        <a:xfrm>
          <a:off x="9988343625" y="1491615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66</xdr:row>
      <xdr:rowOff>0</xdr:rowOff>
    </xdr:from>
    <xdr:ext cx="304800" cy="307975"/>
    <xdr:sp macro="" textlink="">
      <xdr:nvSpPr>
        <xdr:cNvPr id="144" name="AutoShape 131">
          <a:extLst>
            <a:ext uri="{FF2B5EF4-FFF2-40B4-BE49-F238E27FC236}">
              <a16:creationId xmlns:a16="http://schemas.microsoft.com/office/drawing/2014/main" id="{0F6C42B8-C290-42B4-A541-415891248A7F}"/>
            </a:ext>
          </a:extLst>
        </xdr:cNvPr>
        <xdr:cNvSpPr>
          <a:spLocks noChangeAspect="1" noChangeArrowheads="1"/>
        </xdr:cNvSpPr>
      </xdr:nvSpPr>
      <xdr:spPr bwMode="auto">
        <a:xfrm>
          <a:off x="9988343625" y="153543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126</xdr:row>
      <xdr:rowOff>0</xdr:rowOff>
    </xdr:from>
    <xdr:ext cx="304800" cy="307975"/>
    <xdr:sp macro="" textlink="">
      <xdr:nvSpPr>
        <xdr:cNvPr id="145" name="AutoShape 24">
          <a:extLst>
            <a:ext uri="{FF2B5EF4-FFF2-40B4-BE49-F238E27FC236}">
              <a16:creationId xmlns:a16="http://schemas.microsoft.com/office/drawing/2014/main" id="{46C831E3-891F-49C8-9EC0-1EEB1CC276EB}"/>
            </a:ext>
          </a:extLst>
        </xdr:cNvPr>
        <xdr:cNvSpPr>
          <a:spLocks noChangeAspect="1" noChangeArrowheads="1"/>
        </xdr:cNvSpPr>
      </xdr:nvSpPr>
      <xdr:spPr bwMode="auto">
        <a:xfrm>
          <a:off x="9988343625" y="284988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140</xdr:row>
      <xdr:rowOff>0</xdr:rowOff>
    </xdr:from>
    <xdr:ext cx="304800" cy="303439"/>
    <xdr:sp macro="" textlink="">
      <xdr:nvSpPr>
        <xdr:cNvPr id="146" name="AutoShape 40">
          <a:extLst>
            <a:ext uri="{FF2B5EF4-FFF2-40B4-BE49-F238E27FC236}">
              <a16:creationId xmlns:a16="http://schemas.microsoft.com/office/drawing/2014/main" id="{D03CFF59-48BE-4C1A-A609-3ADC05047CA6}"/>
            </a:ext>
          </a:extLst>
        </xdr:cNvPr>
        <xdr:cNvSpPr>
          <a:spLocks noChangeAspect="1" noChangeArrowheads="1"/>
        </xdr:cNvSpPr>
      </xdr:nvSpPr>
      <xdr:spPr bwMode="auto">
        <a:xfrm>
          <a:off x="9988343625" y="315658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84</xdr:row>
      <xdr:rowOff>0</xdr:rowOff>
    </xdr:from>
    <xdr:ext cx="304800" cy="303439"/>
    <xdr:sp macro="" textlink="">
      <xdr:nvSpPr>
        <xdr:cNvPr id="147" name="AutoShape 57">
          <a:extLst>
            <a:ext uri="{FF2B5EF4-FFF2-40B4-BE49-F238E27FC236}">
              <a16:creationId xmlns:a16="http://schemas.microsoft.com/office/drawing/2014/main" id="{BBFC49D2-A6D4-49E9-A424-3404AB9D0CA1}"/>
            </a:ext>
          </a:extLst>
        </xdr:cNvPr>
        <xdr:cNvSpPr>
          <a:spLocks noChangeAspect="1" noChangeArrowheads="1"/>
        </xdr:cNvSpPr>
      </xdr:nvSpPr>
      <xdr:spPr bwMode="auto">
        <a:xfrm>
          <a:off x="9988343625" y="192976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84</xdr:row>
      <xdr:rowOff>0</xdr:rowOff>
    </xdr:from>
    <xdr:ext cx="304800" cy="303439"/>
    <xdr:sp macro="" textlink="">
      <xdr:nvSpPr>
        <xdr:cNvPr id="148" name="AutoShape 62" descr="🇮🇷">
          <a:extLst>
            <a:ext uri="{FF2B5EF4-FFF2-40B4-BE49-F238E27FC236}">
              <a16:creationId xmlns:a16="http://schemas.microsoft.com/office/drawing/2014/main" id="{B69464EE-4B11-4D8B-A788-8E87134C60EE}"/>
            </a:ext>
          </a:extLst>
        </xdr:cNvPr>
        <xdr:cNvSpPr>
          <a:spLocks noChangeAspect="1" noChangeArrowheads="1"/>
        </xdr:cNvSpPr>
      </xdr:nvSpPr>
      <xdr:spPr bwMode="auto">
        <a:xfrm>
          <a:off x="9988343625" y="192976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314325</xdr:colOff>
      <xdr:row>84</xdr:row>
      <xdr:rowOff>0</xdr:rowOff>
    </xdr:from>
    <xdr:ext cx="304800" cy="303439"/>
    <xdr:sp macro="" textlink="">
      <xdr:nvSpPr>
        <xdr:cNvPr id="149" name="AutoShape 63" descr="🇮🇶">
          <a:extLst>
            <a:ext uri="{FF2B5EF4-FFF2-40B4-BE49-F238E27FC236}">
              <a16:creationId xmlns:a16="http://schemas.microsoft.com/office/drawing/2014/main" id="{DB8023A9-3637-45AA-8C72-F4AB1FB342D4}"/>
            </a:ext>
          </a:extLst>
        </xdr:cNvPr>
        <xdr:cNvSpPr>
          <a:spLocks noChangeAspect="1" noChangeArrowheads="1"/>
        </xdr:cNvSpPr>
      </xdr:nvSpPr>
      <xdr:spPr bwMode="auto">
        <a:xfrm>
          <a:off x="9988029300" y="192976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628650</xdr:colOff>
      <xdr:row>84</xdr:row>
      <xdr:rowOff>0</xdr:rowOff>
    </xdr:from>
    <xdr:ext cx="304800" cy="303439"/>
    <xdr:sp macro="" textlink="">
      <xdr:nvSpPr>
        <xdr:cNvPr id="150" name="AutoShape 64" descr="🏴‍☠️">
          <a:extLst>
            <a:ext uri="{FF2B5EF4-FFF2-40B4-BE49-F238E27FC236}">
              <a16:creationId xmlns:a16="http://schemas.microsoft.com/office/drawing/2014/main" id="{32DB3008-7027-42D3-AA17-20DE7E50FEE1}"/>
            </a:ext>
          </a:extLst>
        </xdr:cNvPr>
        <xdr:cNvSpPr>
          <a:spLocks noChangeAspect="1" noChangeArrowheads="1"/>
        </xdr:cNvSpPr>
      </xdr:nvSpPr>
      <xdr:spPr bwMode="auto">
        <a:xfrm>
          <a:off x="9987714975" y="192976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172</xdr:row>
      <xdr:rowOff>0</xdr:rowOff>
    </xdr:from>
    <xdr:ext cx="304800" cy="303439"/>
    <xdr:sp macro="" textlink="">
      <xdr:nvSpPr>
        <xdr:cNvPr id="151" name="AutoShape 93" descr="👈">
          <a:extLst>
            <a:ext uri="{FF2B5EF4-FFF2-40B4-BE49-F238E27FC236}">
              <a16:creationId xmlns:a16="http://schemas.microsoft.com/office/drawing/2014/main" id="{5F9AA638-17E4-4D4B-BD58-D4B5E856479B}"/>
            </a:ext>
          </a:extLst>
        </xdr:cNvPr>
        <xdr:cNvSpPr>
          <a:spLocks noChangeAspect="1" noChangeArrowheads="1"/>
        </xdr:cNvSpPr>
      </xdr:nvSpPr>
      <xdr:spPr bwMode="auto">
        <a:xfrm>
          <a:off x="9988343625" y="385762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106</xdr:row>
      <xdr:rowOff>0</xdr:rowOff>
    </xdr:from>
    <xdr:ext cx="304800" cy="303439"/>
    <xdr:sp macro="" textlink="">
      <xdr:nvSpPr>
        <xdr:cNvPr id="152" name="AutoShape 113" descr="📌">
          <a:extLst>
            <a:ext uri="{FF2B5EF4-FFF2-40B4-BE49-F238E27FC236}">
              <a16:creationId xmlns:a16="http://schemas.microsoft.com/office/drawing/2014/main" id="{E39CF663-59D0-4CAE-980C-968745071606}"/>
            </a:ext>
          </a:extLst>
        </xdr:cNvPr>
        <xdr:cNvSpPr>
          <a:spLocks noChangeAspect="1" noChangeArrowheads="1"/>
        </xdr:cNvSpPr>
      </xdr:nvSpPr>
      <xdr:spPr bwMode="auto">
        <a:xfrm>
          <a:off x="9988343625" y="241173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106</xdr:row>
      <xdr:rowOff>0</xdr:rowOff>
    </xdr:from>
    <xdr:ext cx="304800" cy="303439"/>
    <xdr:sp macro="" textlink="">
      <xdr:nvSpPr>
        <xdr:cNvPr id="153" name="AutoShape 113" descr="📌">
          <a:extLst>
            <a:ext uri="{FF2B5EF4-FFF2-40B4-BE49-F238E27FC236}">
              <a16:creationId xmlns:a16="http://schemas.microsoft.com/office/drawing/2014/main" id="{0B3152BB-D3C8-4E61-A12D-BBD9A5CA47D6}"/>
            </a:ext>
          </a:extLst>
        </xdr:cNvPr>
        <xdr:cNvSpPr>
          <a:spLocks noChangeAspect="1" noChangeArrowheads="1"/>
        </xdr:cNvSpPr>
      </xdr:nvSpPr>
      <xdr:spPr bwMode="auto">
        <a:xfrm>
          <a:off x="9988343625" y="241173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68</xdr:row>
      <xdr:rowOff>0</xdr:rowOff>
    </xdr:from>
    <xdr:ext cx="304800" cy="303439"/>
    <xdr:sp macro="" textlink="">
      <xdr:nvSpPr>
        <xdr:cNvPr id="154" name="AutoShape 113" descr="📌">
          <a:extLst>
            <a:ext uri="{FF2B5EF4-FFF2-40B4-BE49-F238E27FC236}">
              <a16:creationId xmlns:a16="http://schemas.microsoft.com/office/drawing/2014/main" id="{77FE49BD-949D-4170-9B34-3F494D11806B}"/>
            </a:ext>
          </a:extLst>
        </xdr:cNvPr>
        <xdr:cNvSpPr>
          <a:spLocks noChangeAspect="1" noChangeArrowheads="1"/>
        </xdr:cNvSpPr>
      </xdr:nvSpPr>
      <xdr:spPr bwMode="auto">
        <a:xfrm>
          <a:off x="9988343625" y="157924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68</xdr:row>
      <xdr:rowOff>0</xdr:rowOff>
    </xdr:from>
    <xdr:ext cx="304800" cy="303439"/>
    <xdr:sp macro="" textlink="">
      <xdr:nvSpPr>
        <xdr:cNvPr id="155" name="AutoShape 113" descr="📌">
          <a:extLst>
            <a:ext uri="{FF2B5EF4-FFF2-40B4-BE49-F238E27FC236}">
              <a16:creationId xmlns:a16="http://schemas.microsoft.com/office/drawing/2014/main" id="{52620171-023D-44CC-91DD-6017445552D8}"/>
            </a:ext>
          </a:extLst>
        </xdr:cNvPr>
        <xdr:cNvSpPr>
          <a:spLocks noChangeAspect="1" noChangeArrowheads="1"/>
        </xdr:cNvSpPr>
      </xdr:nvSpPr>
      <xdr:spPr bwMode="auto">
        <a:xfrm>
          <a:off x="9988343625" y="157924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141</xdr:row>
      <xdr:rowOff>0</xdr:rowOff>
    </xdr:from>
    <xdr:ext cx="304800" cy="303439"/>
    <xdr:sp macro="" textlink="">
      <xdr:nvSpPr>
        <xdr:cNvPr id="156" name="AutoShape 113" descr="📌">
          <a:extLst>
            <a:ext uri="{FF2B5EF4-FFF2-40B4-BE49-F238E27FC236}">
              <a16:creationId xmlns:a16="http://schemas.microsoft.com/office/drawing/2014/main" id="{287F15A2-E470-46A9-BD3D-AA6272F7141E}"/>
            </a:ext>
          </a:extLst>
        </xdr:cNvPr>
        <xdr:cNvSpPr>
          <a:spLocks noChangeAspect="1" noChangeArrowheads="1"/>
        </xdr:cNvSpPr>
      </xdr:nvSpPr>
      <xdr:spPr bwMode="auto">
        <a:xfrm>
          <a:off x="9988343625" y="3178492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141</xdr:row>
      <xdr:rowOff>0</xdr:rowOff>
    </xdr:from>
    <xdr:ext cx="304800" cy="303439"/>
    <xdr:sp macro="" textlink="">
      <xdr:nvSpPr>
        <xdr:cNvPr id="157" name="AutoShape 113" descr="📌">
          <a:extLst>
            <a:ext uri="{FF2B5EF4-FFF2-40B4-BE49-F238E27FC236}">
              <a16:creationId xmlns:a16="http://schemas.microsoft.com/office/drawing/2014/main" id="{4BC90ED0-7F39-4C81-ABB4-08CD551B7625}"/>
            </a:ext>
          </a:extLst>
        </xdr:cNvPr>
        <xdr:cNvSpPr>
          <a:spLocks noChangeAspect="1" noChangeArrowheads="1"/>
        </xdr:cNvSpPr>
      </xdr:nvSpPr>
      <xdr:spPr bwMode="auto">
        <a:xfrm>
          <a:off x="9988343625" y="3178492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28</xdr:row>
      <xdr:rowOff>0</xdr:rowOff>
    </xdr:from>
    <xdr:ext cx="304800" cy="303439"/>
    <xdr:sp macro="" textlink="">
      <xdr:nvSpPr>
        <xdr:cNvPr id="158" name="AutoShape 113" descr="📌">
          <a:extLst>
            <a:ext uri="{FF2B5EF4-FFF2-40B4-BE49-F238E27FC236}">
              <a16:creationId xmlns:a16="http://schemas.microsoft.com/office/drawing/2014/main" id="{B695AA56-BF62-42D4-BE10-C29D7843A26C}"/>
            </a:ext>
          </a:extLst>
        </xdr:cNvPr>
        <xdr:cNvSpPr>
          <a:spLocks noChangeAspect="1" noChangeArrowheads="1"/>
        </xdr:cNvSpPr>
      </xdr:nvSpPr>
      <xdr:spPr bwMode="auto">
        <a:xfrm>
          <a:off x="9988343625" y="70294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28</xdr:row>
      <xdr:rowOff>0</xdr:rowOff>
    </xdr:from>
    <xdr:ext cx="304800" cy="303439"/>
    <xdr:sp macro="" textlink="">
      <xdr:nvSpPr>
        <xdr:cNvPr id="159" name="AutoShape 113" descr="📌">
          <a:extLst>
            <a:ext uri="{FF2B5EF4-FFF2-40B4-BE49-F238E27FC236}">
              <a16:creationId xmlns:a16="http://schemas.microsoft.com/office/drawing/2014/main" id="{8791B467-F059-4F7C-B45F-1D16BE7EEE4C}"/>
            </a:ext>
          </a:extLst>
        </xdr:cNvPr>
        <xdr:cNvSpPr>
          <a:spLocks noChangeAspect="1" noChangeArrowheads="1"/>
        </xdr:cNvSpPr>
      </xdr:nvSpPr>
      <xdr:spPr bwMode="auto">
        <a:xfrm>
          <a:off x="9988343625" y="70294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190</xdr:row>
      <xdr:rowOff>0</xdr:rowOff>
    </xdr:from>
    <xdr:ext cx="304800" cy="303439"/>
    <xdr:sp macro="" textlink="">
      <xdr:nvSpPr>
        <xdr:cNvPr id="160" name="AutoShape 113" descr="📌">
          <a:extLst>
            <a:ext uri="{FF2B5EF4-FFF2-40B4-BE49-F238E27FC236}">
              <a16:creationId xmlns:a16="http://schemas.microsoft.com/office/drawing/2014/main" id="{AE1E3BCE-6DC1-4B22-B8C8-84F9F20D658A}"/>
            </a:ext>
          </a:extLst>
        </xdr:cNvPr>
        <xdr:cNvSpPr>
          <a:spLocks noChangeAspect="1" noChangeArrowheads="1"/>
        </xdr:cNvSpPr>
      </xdr:nvSpPr>
      <xdr:spPr bwMode="auto">
        <a:xfrm>
          <a:off x="9988343625" y="425196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190</xdr:row>
      <xdr:rowOff>0</xdr:rowOff>
    </xdr:from>
    <xdr:ext cx="304800" cy="303439"/>
    <xdr:sp macro="" textlink="">
      <xdr:nvSpPr>
        <xdr:cNvPr id="161" name="AutoShape 113" descr="📌">
          <a:extLst>
            <a:ext uri="{FF2B5EF4-FFF2-40B4-BE49-F238E27FC236}">
              <a16:creationId xmlns:a16="http://schemas.microsoft.com/office/drawing/2014/main" id="{05C7C230-E87A-468D-A861-542463779E9C}"/>
            </a:ext>
          </a:extLst>
        </xdr:cNvPr>
        <xdr:cNvSpPr>
          <a:spLocks noChangeAspect="1" noChangeArrowheads="1"/>
        </xdr:cNvSpPr>
      </xdr:nvSpPr>
      <xdr:spPr bwMode="auto">
        <a:xfrm>
          <a:off x="9988343625" y="425196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107</xdr:row>
      <xdr:rowOff>0</xdr:rowOff>
    </xdr:from>
    <xdr:ext cx="304800" cy="303439"/>
    <xdr:sp macro="" textlink="">
      <xdr:nvSpPr>
        <xdr:cNvPr id="162" name="AutoShape 113" descr="📌">
          <a:extLst>
            <a:ext uri="{FF2B5EF4-FFF2-40B4-BE49-F238E27FC236}">
              <a16:creationId xmlns:a16="http://schemas.microsoft.com/office/drawing/2014/main" id="{96A2F1B5-A707-43B8-AEF0-D364C469E570}"/>
            </a:ext>
          </a:extLst>
        </xdr:cNvPr>
        <xdr:cNvSpPr>
          <a:spLocks noChangeAspect="1" noChangeArrowheads="1"/>
        </xdr:cNvSpPr>
      </xdr:nvSpPr>
      <xdr:spPr bwMode="auto">
        <a:xfrm>
          <a:off x="9988343625" y="2433637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107</xdr:row>
      <xdr:rowOff>0</xdr:rowOff>
    </xdr:from>
    <xdr:ext cx="304800" cy="303439"/>
    <xdr:sp macro="" textlink="">
      <xdr:nvSpPr>
        <xdr:cNvPr id="163" name="AutoShape 113" descr="📌">
          <a:extLst>
            <a:ext uri="{FF2B5EF4-FFF2-40B4-BE49-F238E27FC236}">
              <a16:creationId xmlns:a16="http://schemas.microsoft.com/office/drawing/2014/main" id="{FDE1D953-D513-4CA9-9F43-D319C706F72E}"/>
            </a:ext>
          </a:extLst>
        </xdr:cNvPr>
        <xdr:cNvSpPr>
          <a:spLocks noChangeAspect="1" noChangeArrowheads="1"/>
        </xdr:cNvSpPr>
      </xdr:nvSpPr>
      <xdr:spPr bwMode="auto">
        <a:xfrm>
          <a:off x="9988343625" y="2433637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44</xdr:row>
      <xdr:rowOff>0</xdr:rowOff>
    </xdr:from>
    <xdr:ext cx="304800" cy="303439"/>
    <xdr:sp macro="" textlink="">
      <xdr:nvSpPr>
        <xdr:cNvPr id="164" name="AutoShape 113" descr="📌">
          <a:extLst>
            <a:ext uri="{FF2B5EF4-FFF2-40B4-BE49-F238E27FC236}">
              <a16:creationId xmlns:a16="http://schemas.microsoft.com/office/drawing/2014/main" id="{D4B017E1-BED1-4D2E-B010-EA56B4A27DF5}"/>
            </a:ext>
          </a:extLst>
        </xdr:cNvPr>
        <xdr:cNvSpPr>
          <a:spLocks noChangeAspect="1" noChangeArrowheads="1"/>
        </xdr:cNvSpPr>
      </xdr:nvSpPr>
      <xdr:spPr bwMode="auto">
        <a:xfrm>
          <a:off x="9988343625" y="105346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44</xdr:row>
      <xdr:rowOff>0</xdr:rowOff>
    </xdr:from>
    <xdr:ext cx="304800" cy="303439"/>
    <xdr:sp macro="" textlink="">
      <xdr:nvSpPr>
        <xdr:cNvPr id="165" name="AutoShape 113" descr="📌">
          <a:extLst>
            <a:ext uri="{FF2B5EF4-FFF2-40B4-BE49-F238E27FC236}">
              <a16:creationId xmlns:a16="http://schemas.microsoft.com/office/drawing/2014/main" id="{03A4E670-8479-406F-9EB0-9B12E6656304}"/>
            </a:ext>
          </a:extLst>
        </xdr:cNvPr>
        <xdr:cNvSpPr>
          <a:spLocks noChangeAspect="1" noChangeArrowheads="1"/>
        </xdr:cNvSpPr>
      </xdr:nvSpPr>
      <xdr:spPr bwMode="auto">
        <a:xfrm>
          <a:off x="9988343625" y="105346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72</xdr:row>
      <xdr:rowOff>0</xdr:rowOff>
    </xdr:from>
    <xdr:ext cx="304800" cy="303439"/>
    <xdr:sp macro="" textlink="">
      <xdr:nvSpPr>
        <xdr:cNvPr id="166" name="AutoShape 113" descr="📌">
          <a:extLst>
            <a:ext uri="{FF2B5EF4-FFF2-40B4-BE49-F238E27FC236}">
              <a16:creationId xmlns:a16="http://schemas.microsoft.com/office/drawing/2014/main" id="{24334CC8-1643-4213-89BF-93235360D66C}"/>
            </a:ext>
          </a:extLst>
        </xdr:cNvPr>
        <xdr:cNvSpPr>
          <a:spLocks noChangeAspect="1" noChangeArrowheads="1"/>
        </xdr:cNvSpPr>
      </xdr:nvSpPr>
      <xdr:spPr bwMode="auto">
        <a:xfrm>
          <a:off x="9988343625" y="166687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72</xdr:row>
      <xdr:rowOff>0</xdr:rowOff>
    </xdr:from>
    <xdr:ext cx="304800" cy="303439"/>
    <xdr:sp macro="" textlink="">
      <xdr:nvSpPr>
        <xdr:cNvPr id="167" name="AutoShape 113" descr="📌">
          <a:extLst>
            <a:ext uri="{FF2B5EF4-FFF2-40B4-BE49-F238E27FC236}">
              <a16:creationId xmlns:a16="http://schemas.microsoft.com/office/drawing/2014/main" id="{04680A2B-5833-4E35-AE65-8F4CFFE6C7F6}"/>
            </a:ext>
          </a:extLst>
        </xdr:cNvPr>
        <xdr:cNvSpPr>
          <a:spLocks noChangeAspect="1" noChangeArrowheads="1"/>
        </xdr:cNvSpPr>
      </xdr:nvSpPr>
      <xdr:spPr bwMode="auto">
        <a:xfrm>
          <a:off x="9988343625" y="166687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45</xdr:row>
      <xdr:rowOff>0</xdr:rowOff>
    </xdr:from>
    <xdr:ext cx="304800" cy="303439"/>
    <xdr:sp macro="" textlink="">
      <xdr:nvSpPr>
        <xdr:cNvPr id="168" name="AutoShape 113" descr="📌">
          <a:extLst>
            <a:ext uri="{FF2B5EF4-FFF2-40B4-BE49-F238E27FC236}">
              <a16:creationId xmlns:a16="http://schemas.microsoft.com/office/drawing/2014/main" id="{743A240C-68CD-4783-A7DB-058776B1D137}"/>
            </a:ext>
          </a:extLst>
        </xdr:cNvPr>
        <xdr:cNvSpPr>
          <a:spLocks noChangeAspect="1" noChangeArrowheads="1"/>
        </xdr:cNvSpPr>
      </xdr:nvSpPr>
      <xdr:spPr bwMode="auto">
        <a:xfrm>
          <a:off x="9988343625" y="1075372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45</xdr:row>
      <xdr:rowOff>0</xdr:rowOff>
    </xdr:from>
    <xdr:ext cx="304800" cy="303439"/>
    <xdr:sp macro="" textlink="">
      <xdr:nvSpPr>
        <xdr:cNvPr id="169" name="AutoShape 113" descr="📌">
          <a:extLst>
            <a:ext uri="{FF2B5EF4-FFF2-40B4-BE49-F238E27FC236}">
              <a16:creationId xmlns:a16="http://schemas.microsoft.com/office/drawing/2014/main" id="{BA279F03-20D3-4DF0-A4D7-D6208E4328B3}"/>
            </a:ext>
          </a:extLst>
        </xdr:cNvPr>
        <xdr:cNvSpPr>
          <a:spLocks noChangeAspect="1" noChangeArrowheads="1"/>
        </xdr:cNvSpPr>
      </xdr:nvSpPr>
      <xdr:spPr bwMode="auto">
        <a:xfrm>
          <a:off x="9988343625" y="1075372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108</xdr:row>
      <xdr:rowOff>0</xdr:rowOff>
    </xdr:from>
    <xdr:ext cx="304800" cy="303439"/>
    <xdr:sp macro="" textlink="">
      <xdr:nvSpPr>
        <xdr:cNvPr id="170" name="AutoShape 113" descr="📌">
          <a:extLst>
            <a:ext uri="{FF2B5EF4-FFF2-40B4-BE49-F238E27FC236}">
              <a16:creationId xmlns:a16="http://schemas.microsoft.com/office/drawing/2014/main" id="{65FF01C6-D684-4CC7-9E3F-A2A56B901B1F}"/>
            </a:ext>
          </a:extLst>
        </xdr:cNvPr>
        <xdr:cNvSpPr>
          <a:spLocks noChangeAspect="1" noChangeArrowheads="1"/>
        </xdr:cNvSpPr>
      </xdr:nvSpPr>
      <xdr:spPr bwMode="auto">
        <a:xfrm>
          <a:off x="9988343625" y="245554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108</xdr:row>
      <xdr:rowOff>0</xdr:rowOff>
    </xdr:from>
    <xdr:ext cx="304800" cy="303439"/>
    <xdr:sp macro="" textlink="">
      <xdr:nvSpPr>
        <xdr:cNvPr id="171" name="AutoShape 113" descr="📌">
          <a:extLst>
            <a:ext uri="{FF2B5EF4-FFF2-40B4-BE49-F238E27FC236}">
              <a16:creationId xmlns:a16="http://schemas.microsoft.com/office/drawing/2014/main" id="{16D912C5-463E-4D4E-8CE9-ECE69A01D9C6}"/>
            </a:ext>
          </a:extLst>
        </xdr:cNvPr>
        <xdr:cNvSpPr>
          <a:spLocks noChangeAspect="1" noChangeArrowheads="1"/>
        </xdr:cNvSpPr>
      </xdr:nvSpPr>
      <xdr:spPr bwMode="auto">
        <a:xfrm>
          <a:off x="9988343625" y="245554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154</xdr:row>
      <xdr:rowOff>0</xdr:rowOff>
    </xdr:from>
    <xdr:ext cx="304800" cy="303439"/>
    <xdr:sp macro="" textlink="">
      <xdr:nvSpPr>
        <xdr:cNvPr id="172" name="AutoShape 113" descr="📌">
          <a:extLst>
            <a:ext uri="{FF2B5EF4-FFF2-40B4-BE49-F238E27FC236}">
              <a16:creationId xmlns:a16="http://schemas.microsoft.com/office/drawing/2014/main" id="{31056D25-2970-4518-B02B-4EA61340CE29}"/>
            </a:ext>
          </a:extLst>
        </xdr:cNvPr>
        <xdr:cNvSpPr>
          <a:spLocks noChangeAspect="1" noChangeArrowheads="1"/>
        </xdr:cNvSpPr>
      </xdr:nvSpPr>
      <xdr:spPr bwMode="auto">
        <a:xfrm>
          <a:off x="9988343625" y="346329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154</xdr:row>
      <xdr:rowOff>0</xdr:rowOff>
    </xdr:from>
    <xdr:ext cx="304800" cy="303439"/>
    <xdr:sp macro="" textlink="">
      <xdr:nvSpPr>
        <xdr:cNvPr id="173" name="AutoShape 113" descr="📌">
          <a:extLst>
            <a:ext uri="{FF2B5EF4-FFF2-40B4-BE49-F238E27FC236}">
              <a16:creationId xmlns:a16="http://schemas.microsoft.com/office/drawing/2014/main" id="{0E654430-1DB5-4878-9BFE-608D9E693F86}"/>
            </a:ext>
          </a:extLst>
        </xdr:cNvPr>
        <xdr:cNvSpPr>
          <a:spLocks noChangeAspect="1" noChangeArrowheads="1"/>
        </xdr:cNvSpPr>
      </xdr:nvSpPr>
      <xdr:spPr bwMode="auto">
        <a:xfrm>
          <a:off x="9988343625" y="346329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142</xdr:row>
      <xdr:rowOff>0</xdr:rowOff>
    </xdr:from>
    <xdr:ext cx="304800" cy="303439"/>
    <xdr:sp macro="" textlink="">
      <xdr:nvSpPr>
        <xdr:cNvPr id="174" name="AutoShape 113" descr="📌">
          <a:extLst>
            <a:ext uri="{FF2B5EF4-FFF2-40B4-BE49-F238E27FC236}">
              <a16:creationId xmlns:a16="http://schemas.microsoft.com/office/drawing/2014/main" id="{09B1272D-52F1-403C-A012-EFAAA0CDB2AB}"/>
            </a:ext>
          </a:extLst>
        </xdr:cNvPr>
        <xdr:cNvSpPr>
          <a:spLocks noChangeAspect="1" noChangeArrowheads="1"/>
        </xdr:cNvSpPr>
      </xdr:nvSpPr>
      <xdr:spPr bwMode="auto">
        <a:xfrm>
          <a:off x="9988343625" y="32004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142</xdr:row>
      <xdr:rowOff>0</xdr:rowOff>
    </xdr:from>
    <xdr:ext cx="304800" cy="303439"/>
    <xdr:sp macro="" textlink="">
      <xdr:nvSpPr>
        <xdr:cNvPr id="175" name="AutoShape 113" descr="📌">
          <a:extLst>
            <a:ext uri="{FF2B5EF4-FFF2-40B4-BE49-F238E27FC236}">
              <a16:creationId xmlns:a16="http://schemas.microsoft.com/office/drawing/2014/main" id="{08129AEF-9A58-4B33-88CC-67952358012A}"/>
            </a:ext>
          </a:extLst>
        </xdr:cNvPr>
        <xdr:cNvSpPr>
          <a:spLocks noChangeAspect="1" noChangeArrowheads="1"/>
        </xdr:cNvSpPr>
      </xdr:nvSpPr>
      <xdr:spPr bwMode="auto">
        <a:xfrm>
          <a:off x="9988343625" y="32004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46</xdr:row>
      <xdr:rowOff>0</xdr:rowOff>
    </xdr:from>
    <xdr:ext cx="304800" cy="303439"/>
    <xdr:sp macro="" textlink="">
      <xdr:nvSpPr>
        <xdr:cNvPr id="176" name="AutoShape 113" descr="📌">
          <a:extLst>
            <a:ext uri="{FF2B5EF4-FFF2-40B4-BE49-F238E27FC236}">
              <a16:creationId xmlns:a16="http://schemas.microsoft.com/office/drawing/2014/main" id="{08C56464-0418-4DC5-93C9-85CF6294EA64}"/>
            </a:ext>
          </a:extLst>
        </xdr:cNvPr>
        <xdr:cNvSpPr>
          <a:spLocks noChangeAspect="1" noChangeArrowheads="1"/>
        </xdr:cNvSpPr>
      </xdr:nvSpPr>
      <xdr:spPr bwMode="auto">
        <a:xfrm>
          <a:off x="9988343625" y="109728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46</xdr:row>
      <xdr:rowOff>0</xdr:rowOff>
    </xdr:from>
    <xdr:ext cx="304800" cy="303439"/>
    <xdr:sp macro="" textlink="">
      <xdr:nvSpPr>
        <xdr:cNvPr id="177" name="AutoShape 113" descr="📌">
          <a:extLst>
            <a:ext uri="{FF2B5EF4-FFF2-40B4-BE49-F238E27FC236}">
              <a16:creationId xmlns:a16="http://schemas.microsoft.com/office/drawing/2014/main" id="{9A14A2F6-A6A0-4DD0-A47A-5B54E38BC3E7}"/>
            </a:ext>
          </a:extLst>
        </xdr:cNvPr>
        <xdr:cNvSpPr>
          <a:spLocks noChangeAspect="1" noChangeArrowheads="1"/>
        </xdr:cNvSpPr>
      </xdr:nvSpPr>
      <xdr:spPr bwMode="auto">
        <a:xfrm>
          <a:off x="9988343625" y="109728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155</xdr:row>
      <xdr:rowOff>0</xdr:rowOff>
    </xdr:from>
    <xdr:ext cx="304800" cy="303439"/>
    <xdr:sp macro="" textlink="">
      <xdr:nvSpPr>
        <xdr:cNvPr id="178" name="AutoShape 113" descr="📌">
          <a:extLst>
            <a:ext uri="{FF2B5EF4-FFF2-40B4-BE49-F238E27FC236}">
              <a16:creationId xmlns:a16="http://schemas.microsoft.com/office/drawing/2014/main" id="{CAC3AF72-F69E-4375-B448-7BCFA026D26D}"/>
            </a:ext>
          </a:extLst>
        </xdr:cNvPr>
        <xdr:cNvSpPr>
          <a:spLocks noChangeAspect="1" noChangeArrowheads="1"/>
        </xdr:cNvSpPr>
      </xdr:nvSpPr>
      <xdr:spPr bwMode="auto">
        <a:xfrm>
          <a:off x="9988343625" y="3485197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155</xdr:row>
      <xdr:rowOff>0</xdr:rowOff>
    </xdr:from>
    <xdr:ext cx="304800" cy="303439"/>
    <xdr:sp macro="" textlink="">
      <xdr:nvSpPr>
        <xdr:cNvPr id="179" name="AutoShape 113" descr="📌">
          <a:extLst>
            <a:ext uri="{FF2B5EF4-FFF2-40B4-BE49-F238E27FC236}">
              <a16:creationId xmlns:a16="http://schemas.microsoft.com/office/drawing/2014/main" id="{625E8FF5-51FF-4ECC-9ACF-8D7160B4A57C}"/>
            </a:ext>
          </a:extLst>
        </xdr:cNvPr>
        <xdr:cNvSpPr>
          <a:spLocks noChangeAspect="1" noChangeArrowheads="1"/>
        </xdr:cNvSpPr>
      </xdr:nvSpPr>
      <xdr:spPr bwMode="auto">
        <a:xfrm>
          <a:off x="9988343625" y="3485197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164</xdr:row>
      <xdr:rowOff>0</xdr:rowOff>
    </xdr:from>
    <xdr:ext cx="304800" cy="303439"/>
    <xdr:sp macro="" textlink="">
      <xdr:nvSpPr>
        <xdr:cNvPr id="180" name="AutoShape 113" descr="📌">
          <a:extLst>
            <a:ext uri="{FF2B5EF4-FFF2-40B4-BE49-F238E27FC236}">
              <a16:creationId xmlns:a16="http://schemas.microsoft.com/office/drawing/2014/main" id="{6AFEA47C-CBA1-484B-A4F0-9F1902880FBC}"/>
            </a:ext>
          </a:extLst>
        </xdr:cNvPr>
        <xdr:cNvSpPr>
          <a:spLocks noChangeAspect="1" noChangeArrowheads="1"/>
        </xdr:cNvSpPr>
      </xdr:nvSpPr>
      <xdr:spPr bwMode="auto">
        <a:xfrm>
          <a:off x="9988343625" y="368236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164</xdr:row>
      <xdr:rowOff>0</xdr:rowOff>
    </xdr:from>
    <xdr:ext cx="304800" cy="303439"/>
    <xdr:sp macro="" textlink="">
      <xdr:nvSpPr>
        <xdr:cNvPr id="181" name="AutoShape 113" descr="📌">
          <a:extLst>
            <a:ext uri="{FF2B5EF4-FFF2-40B4-BE49-F238E27FC236}">
              <a16:creationId xmlns:a16="http://schemas.microsoft.com/office/drawing/2014/main" id="{D3298FE6-6026-4F64-8C9D-03D770737714}"/>
            </a:ext>
          </a:extLst>
        </xdr:cNvPr>
        <xdr:cNvSpPr>
          <a:spLocks noChangeAspect="1" noChangeArrowheads="1"/>
        </xdr:cNvSpPr>
      </xdr:nvSpPr>
      <xdr:spPr bwMode="auto">
        <a:xfrm>
          <a:off x="9988343625" y="368236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143</xdr:row>
      <xdr:rowOff>0</xdr:rowOff>
    </xdr:from>
    <xdr:ext cx="304800" cy="303439"/>
    <xdr:sp macro="" textlink="">
      <xdr:nvSpPr>
        <xdr:cNvPr id="182" name="AutoShape 113" descr="📌">
          <a:extLst>
            <a:ext uri="{FF2B5EF4-FFF2-40B4-BE49-F238E27FC236}">
              <a16:creationId xmlns:a16="http://schemas.microsoft.com/office/drawing/2014/main" id="{5D13CCDE-FABF-4A29-9603-6A8DBC1A21A0}"/>
            </a:ext>
          </a:extLst>
        </xdr:cNvPr>
        <xdr:cNvSpPr>
          <a:spLocks noChangeAspect="1" noChangeArrowheads="1"/>
        </xdr:cNvSpPr>
      </xdr:nvSpPr>
      <xdr:spPr bwMode="auto">
        <a:xfrm>
          <a:off x="9988343625" y="3222307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143</xdr:row>
      <xdr:rowOff>0</xdr:rowOff>
    </xdr:from>
    <xdr:ext cx="304800" cy="303439"/>
    <xdr:sp macro="" textlink="">
      <xdr:nvSpPr>
        <xdr:cNvPr id="183" name="AutoShape 113" descr="📌">
          <a:extLst>
            <a:ext uri="{FF2B5EF4-FFF2-40B4-BE49-F238E27FC236}">
              <a16:creationId xmlns:a16="http://schemas.microsoft.com/office/drawing/2014/main" id="{3DB80DEC-F44D-47DB-B8EB-199C290F6B36}"/>
            </a:ext>
          </a:extLst>
        </xdr:cNvPr>
        <xdr:cNvSpPr>
          <a:spLocks noChangeAspect="1" noChangeArrowheads="1"/>
        </xdr:cNvSpPr>
      </xdr:nvSpPr>
      <xdr:spPr bwMode="auto">
        <a:xfrm>
          <a:off x="9988343625" y="3222307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47</xdr:row>
      <xdr:rowOff>0</xdr:rowOff>
    </xdr:from>
    <xdr:ext cx="304800" cy="303439"/>
    <xdr:sp macro="" textlink="">
      <xdr:nvSpPr>
        <xdr:cNvPr id="184" name="AutoShape 113" descr="📌">
          <a:extLst>
            <a:ext uri="{FF2B5EF4-FFF2-40B4-BE49-F238E27FC236}">
              <a16:creationId xmlns:a16="http://schemas.microsoft.com/office/drawing/2014/main" id="{2642711A-A573-4A9E-BF67-19A1E91CDCDE}"/>
            </a:ext>
          </a:extLst>
        </xdr:cNvPr>
        <xdr:cNvSpPr>
          <a:spLocks noChangeAspect="1" noChangeArrowheads="1"/>
        </xdr:cNvSpPr>
      </xdr:nvSpPr>
      <xdr:spPr bwMode="auto">
        <a:xfrm>
          <a:off x="9988343625" y="1119187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47</xdr:row>
      <xdr:rowOff>0</xdr:rowOff>
    </xdr:from>
    <xdr:ext cx="304800" cy="303439"/>
    <xdr:sp macro="" textlink="">
      <xdr:nvSpPr>
        <xdr:cNvPr id="185" name="AutoShape 113" descr="📌">
          <a:extLst>
            <a:ext uri="{FF2B5EF4-FFF2-40B4-BE49-F238E27FC236}">
              <a16:creationId xmlns:a16="http://schemas.microsoft.com/office/drawing/2014/main" id="{000C0D08-8289-4291-94D1-9D8D8070747E}"/>
            </a:ext>
          </a:extLst>
        </xdr:cNvPr>
        <xdr:cNvSpPr>
          <a:spLocks noChangeAspect="1" noChangeArrowheads="1"/>
        </xdr:cNvSpPr>
      </xdr:nvSpPr>
      <xdr:spPr bwMode="auto">
        <a:xfrm>
          <a:off x="9988343625" y="1119187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112</xdr:row>
      <xdr:rowOff>0</xdr:rowOff>
    </xdr:from>
    <xdr:ext cx="304800" cy="303439"/>
    <xdr:sp macro="" textlink="">
      <xdr:nvSpPr>
        <xdr:cNvPr id="186" name="AutoShape 113" descr="📌">
          <a:extLst>
            <a:ext uri="{FF2B5EF4-FFF2-40B4-BE49-F238E27FC236}">
              <a16:creationId xmlns:a16="http://schemas.microsoft.com/office/drawing/2014/main" id="{EA859263-DF74-429C-B328-E4A0B1BAF0BE}"/>
            </a:ext>
          </a:extLst>
        </xdr:cNvPr>
        <xdr:cNvSpPr>
          <a:spLocks noChangeAspect="1" noChangeArrowheads="1"/>
        </xdr:cNvSpPr>
      </xdr:nvSpPr>
      <xdr:spPr bwMode="auto">
        <a:xfrm>
          <a:off x="9988343625" y="254317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112</xdr:row>
      <xdr:rowOff>0</xdr:rowOff>
    </xdr:from>
    <xdr:ext cx="304800" cy="303439"/>
    <xdr:sp macro="" textlink="">
      <xdr:nvSpPr>
        <xdr:cNvPr id="187" name="AutoShape 113" descr="📌">
          <a:extLst>
            <a:ext uri="{FF2B5EF4-FFF2-40B4-BE49-F238E27FC236}">
              <a16:creationId xmlns:a16="http://schemas.microsoft.com/office/drawing/2014/main" id="{BF9E383D-C21C-4BB6-A490-7897FF031A43}"/>
            </a:ext>
          </a:extLst>
        </xdr:cNvPr>
        <xdr:cNvSpPr>
          <a:spLocks noChangeAspect="1" noChangeArrowheads="1"/>
        </xdr:cNvSpPr>
      </xdr:nvSpPr>
      <xdr:spPr bwMode="auto">
        <a:xfrm>
          <a:off x="9988343625" y="254317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74</xdr:row>
      <xdr:rowOff>0</xdr:rowOff>
    </xdr:from>
    <xdr:ext cx="304800" cy="303439"/>
    <xdr:sp macro="" textlink="">
      <xdr:nvSpPr>
        <xdr:cNvPr id="188" name="AutoShape 113" descr="📌">
          <a:extLst>
            <a:ext uri="{FF2B5EF4-FFF2-40B4-BE49-F238E27FC236}">
              <a16:creationId xmlns:a16="http://schemas.microsoft.com/office/drawing/2014/main" id="{E8521038-481C-4D0F-B3B7-C2101E67DBE4}"/>
            </a:ext>
          </a:extLst>
        </xdr:cNvPr>
        <xdr:cNvSpPr>
          <a:spLocks noChangeAspect="1" noChangeArrowheads="1"/>
        </xdr:cNvSpPr>
      </xdr:nvSpPr>
      <xdr:spPr bwMode="auto">
        <a:xfrm>
          <a:off x="9988343625" y="171069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74</xdr:row>
      <xdr:rowOff>0</xdr:rowOff>
    </xdr:from>
    <xdr:ext cx="304800" cy="303439"/>
    <xdr:sp macro="" textlink="">
      <xdr:nvSpPr>
        <xdr:cNvPr id="189" name="AutoShape 113" descr="📌">
          <a:extLst>
            <a:ext uri="{FF2B5EF4-FFF2-40B4-BE49-F238E27FC236}">
              <a16:creationId xmlns:a16="http://schemas.microsoft.com/office/drawing/2014/main" id="{5BBBAC79-37FA-496E-82DB-3C846012B90B}"/>
            </a:ext>
          </a:extLst>
        </xdr:cNvPr>
        <xdr:cNvSpPr>
          <a:spLocks noChangeAspect="1" noChangeArrowheads="1"/>
        </xdr:cNvSpPr>
      </xdr:nvSpPr>
      <xdr:spPr bwMode="auto">
        <a:xfrm>
          <a:off x="9988343625" y="171069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48</xdr:row>
      <xdr:rowOff>0</xdr:rowOff>
    </xdr:from>
    <xdr:ext cx="304800" cy="303439"/>
    <xdr:sp macro="" textlink="">
      <xdr:nvSpPr>
        <xdr:cNvPr id="190" name="AutoShape 113" descr="📌">
          <a:extLst>
            <a:ext uri="{FF2B5EF4-FFF2-40B4-BE49-F238E27FC236}">
              <a16:creationId xmlns:a16="http://schemas.microsoft.com/office/drawing/2014/main" id="{B1C4B5B1-3889-40AD-B4EA-8EF4554317E3}"/>
            </a:ext>
          </a:extLst>
        </xdr:cNvPr>
        <xdr:cNvSpPr>
          <a:spLocks noChangeAspect="1" noChangeArrowheads="1"/>
        </xdr:cNvSpPr>
      </xdr:nvSpPr>
      <xdr:spPr bwMode="auto">
        <a:xfrm>
          <a:off x="9988343625" y="114109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48</xdr:row>
      <xdr:rowOff>0</xdr:rowOff>
    </xdr:from>
    <xdr:ext cx="304800" cy="303439"/>
    <xdr:sp macro="" textlink="">
      <xdr:nvSpPr>
        <xdr:cNvPr id="191" name="AutoShape 113" descr="📌">
          <a:extLst>
            <a:ext uri="{FF2B5EF4-FFF2-40B4-BE49-F238E27FC236}">
              <a16:creationId xmlns:a16="http://schemas.microsoft.com/office/drawing/2014/main" id="{FC8DAB84-9167-4C0C-A2C5-56CB51CD65A3}"/>
            </a:ext>
          </a:extLst>
        </xdr:cNvPr>
        <xdr:cNvSpPr>
          <a:spLocks noChangeAspect="1" noChangeArrowheads="1"/>
        </xdr:cNvSpPr>
      </xdr:nvSpPr>
      <xdr:spPr bwMode="auto">
        <a:xfrm>
          <a:off x="9988343625" y="114109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49</xdr:row>
      <xdr:rowOff>0</xdr:rowOff>
    </xdr:from>
    <xdr:ext cx="304800" cy="303439"/>
    <xdr:sp macro="" textlink="">
      <xdr:nvSpPr>
        <xdr:cNvPr id="192" name="AutoShape 113" descr="📌">
          <a:extLst>
            <a:ext uri="{FF2B5EF4-FFF2-40B4-BE49-F238E27FC236}">
              <a16:creationId xmlns:a16="http://schemas.microsoft.com/office/drawing/2014/main" id="{306DC4D9-4459-4B38-8CB0-289EC58CBB44}"/>
            </a:ext>
          </a:extLst>
        </xdr:cNvPr>
        <xdr:cNvSpPr>
          <a:spLocks noChangeAspect="1" noChangeArrowheads="1"/>
        </xdr:cNvSpPr>
      </xdr:nvSpPr>
      <xdr:spPr bwMode="auto">
        <a:xfrm>
          <a:off x="9988343625" y="1163002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49</xdr:row>
      <xdr:rowOff>0</xdr:rowOff>
    </xdr:from>
    <xdr:ext cx="304800" cy="303439"/>
    <xdr:sp macro="" textlink="">
      <xdr:nvSpPr>
        <xdr:cNvPr id="193" name="AutoShape 113" descr="📌">
          <a:extLst>
            <a:ext uri="{FF2B5EF4-FFF2-40B4-BE49-F238E27FC236}">
              <a16:creationId xmlns:a16="http://schemas.microsoft.com/office/drawing/2014/main" id="{5967BBDA-D88E-4360-834C-92F2688B3FDD}"/>
            </a:ext>
          </a:extLst>
        </xdr:cNvPr>
        <xdr:cNvSpPr>
          <a:spLocks noChangeAspect="1" noChangeArrowheads="1"/>
        </xdr:cNvSpPr>
      </xdr:nvSpPr>
      <xdr:spPr bwMode="auto">
        <a:xfrm>
          <a:off x="9988343625" y="1163002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68</xdr:row>
      <xdr:rowOff>0</xdr:rowOff>
    </xdr:from>
    <xdr:ext cx="304800" cy="303440"/>
    <xdr:sp macro="" textlink="">
      <xdr:nvSpPr>
        <xdr:cNvPr id="194" name="AutoShape 7">
          <a:extLst>
            <a:ext uri="{FF2B5EF4-FFF2-40B4-BE49-F238E27FC236}">
              <a16:creationId xmlns:a16="http://schemas.microsoft.com/office/drawing/2014/main" id="{D2017145-A9C6-4E96-B339-E1D27E322F30}"/>
            </a:ext>
          </a:extLst>
        </xdr:cNvPr>
        <xdr:cNvSpPr>
          <a:spLocks noChangeAspect="1" noChangeArrowheads="1"/>
        </xdr:cNvSpPr>
      </xdr:nvSpPr>
      <xdr:spPr bwMode="auto">
        <a:xfrm>
          <a:off x="9988343625" y="15792450"/>
          <a:ext cx="304800" cy="3034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141</xdr:row>
      <xdr:rowOff>0</xdr:rowOff>
    </xdr:from>
    <xdr:ext cx="304800" cy="303440"/>
    <xdr:sp macro="" textlink="">
      <xdr:nvSpPr>
        <xdr:cNvPr id="195" name="AutoShape 38" descr="🔺">
          <a:extLst>
            <a:ext uri="{FF2B5EF4-FFF2-40B4-BE49-F238E27FC236}">
              <a16:creationId xmlns:a16="http://schemas.microsoft.com/office/drawing/2014/main" id="{4C49E3C5-5053-482C-A834-33FA829B49C6}"/>
            </a:ext>
          </a:extLst>
        </xdr:cNvPr>
        <xdr:cNvSpPr>
          <a:spLocks noChangeAspect="1" noChangeArrowheads="1"/>
        </xdr:cNvSpPr>
      </xdr:nvSpPr>
      <xdr:spPr bwMode="auto">
        <a:xfrm>
          <a:off x="9988343625" y="31784925"/>
          <a:ext cx="304800" cy="30344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85</xdr:row>
      <xdr:rowOff>0</xdr:rowOff>
    </xdr:from>
    <xdr:ext cx="304800" cy="303439"/>
    <xdr:sp macro="" textlink="">
      <xdr:nvSpPr>
        <xdr:cNvPr id="196" name="AutoShape 39" descr="👈">
          <a:extLst>
            <a:ext uri="{FF2B5EF4-FFF2-40B4-BE49-F238E27FC236}">
              <a16:creationId xmlns:a16="http://schemas.microsoft.com/office/drawing/2014/main" id="{3426DCAA-8BE2-41CF-B40A-A01F96187811}"/>
            </a:ext>
          </a:extLst>
        </xdr:cNvPr>
        <xdr:cNvSpPr>
          <a:spLocks noChangeAspect="1" noChangeArrowheads="1"/>
        </xdr:cNvSpPr>
      </xdr:nvSpPr>
      <xdr:spPr bwMode="auto">
        <a:xfrm>
          <a:off x="9988343625" y="1951672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28</xdr:row>
      <xdr:rowOff>0</xdr:rowOff>
    </xdr:from>
    <xdr:ext cx="304800" cy="303439"/>
    <xdr:sp macro="" textlink="">
      <xdr:nvSpPr>
        <xdr:cNvPr id="197" name="AutoShape 72" descr="▪️">
          <a:extLst>
            <a:ext uri="{FF2B5EF4-FFF2-40B4-BE49-F238E27FC236}">
              <a16:creationId xmlns:a16="http://schemas.microsoft.com/office/drawing/2014/main" id="{41535527-DB46-4BB3-AC53-698AD92866B3}"/>
            </a:ext>
          </a:extLst>
        </xdr:cNvPr>
        <xdr:cNvSpPr>
          <a:spLocks noChangeAspect="1" noChangeArrowheads="1"/>
        </xdr:cNvSpPr>
      </xdr:nvSpPr>
      <xdr:spPr bwMode="auto">
        <a:xfrm>
          <a:off x="9988343625" y="70294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44</xdr:row>
      <xdr:rowOff>0</xdr:rowOff>
    </xdr:from>
    <xdr:ext cx="304800" cy="303439"/>
    <xdr:sp macro="" textlink="">
      <xdr:nvSpPr>
        <xdr:cNvPr id="198" name="AutoShape 112" descr="🇮🇷">
          <a:extLst>
            <a:ext uri="{FF2B5EF4-FFF2-40B4-BE49-F238E27FC236}">
              <a16:creationId xmlns:a16="http://schemas.microsoft.com/office/drawing/2014/main" id="{2613A365-B550-4E19-9680-B8B70F7F6DE1}"/>
            </a:ext>
          </a:extLst>
        </xdr:cNvPr>
        <xdr:cNvSpPr>
          <a:spLocks noChangeAspect="1" noChangeArrowheads="1"/>
        </xdr:cNvSpPr>
      </xdr:nvSpPr>
      <xdr:spPr bwMode="auto">
        <a:xfrm>
          <a:off x="9988343625" y="105346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314325</xdr:colOff>
      <xdr:row>44</xdr:row>
      <xdr:rowOff>0</xdr:rowOff>
    </xdr:from>
    <xdr:ext cx="304800" cy="303439"/>
    <xdr:sp macro="" textlink="">
      <xdr:nvSpPr>
        <xdr:cNvPr id="199" name="AutoShape 113" descr="🇱🇧">
          <a:extLst>
            <a:ext uri="{FF2B5EF4-FFF2-40B4-BE49-F238E27FC236}">
              <a16:creationId xmlns:a16="http://schemas.microsoft.com/office/drawing/2014/main" id="{D2F9A063-04C8-44F9-B31D-8E2AC9AC113E}"/>
            </a:ext>
          </a:extLst>
        </xdr:cNvPr>
        <xdr:cNvSpPr>
          <a:spLocks noChangeAspect="1" noChangeArrowheads="1"/>
        </xdr:cNvSpPr>
      </xdr:nvSpPr>
      <xdr:spPr bwMode="auto">
        <a:xfrm>
          <a:off x="9988029300" y="105346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628650</xdr:colOff>
      <xdr:row>44</xdr:row>
      <xdr:rowOff>0</xdr:rowOff>
    </xdr:from>
    <xdr:ext cx="304800" cy="303439"/>
    <xdr:sp macro="" textlink="">
      <xdr:nvSpPr>
        <xdr:cNvPr id="200" name="AutoShape 114" descr="🏴‍☠">
          <a:extLst>
            <a:ext uri="{FF2B5EF4-FFF2-40B4-BE49-F238E27FC236}">
              <a16:creationId xmlns:a16="http://schemas.microsoft.com/office/drawing/2014/main" id="{421885BD-FE2F-40B2-B98E-3ABAD113ACCD}"/>
            </a:ext>
          </a:extLst>
        </xdr:cNvPr>
        <xdr:cNvSpPr>
          <a:spLocks noChangeAspect="1" noChangeArrowheads="1"/>
        </xdr:cNvSpPr>
      </xdr:nvSpPr>
      <xdr:spPr bwMode="auto">
        <a:xfrm>
          <a:off x="9987714975" y="105346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127</xdr:row>
      <xdr:rowOff>0</xdr:rowOff>
    </xdr:from>
    <xdr:ext cx="304800" cy="303439"/>
    <xdr:sp macro="" textlink="">
      <xdr:nvSpPr>
        <xdr:cNvPr id="201" name="AutoShape 32">
          <a:extLst>
            <a:ext uri="{FF2B5EF4-FFF2-40B4-BE49-F238E27FC236}">
              <a16:creationId xmlns:a16="http://schemas.microsoft.com/office/drawing/2014/main" id="{2EFA48F4-AE72-4224-A60B-6C5080E03E9A}"/>
            </a:ext>
          </a:extLst>
        </xdr:cNvPr>
        <xdr:cNvSpPr>
          <a:spLocks noChangeAspect="1" noChangeArrowheads="1"/>
        </xdr:cNvSpPr>
      </xdr:nvSpPr>
      <xdr:spPr bwMode="auto">
        <a:xfrm>
          <a:off x="9988343625" y="2871787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128</xdr:row>
      <xdr:rowOff>0</xdr:rowOff>
    </xdr:from>
    <xdr:ext cx="304800" cy="303439"/>
    <xdr:sp macro="" textlink="">
      <xdr:nvSpPr>
        <xdr:cNvPr id="202" name="AutoShape 18" descr="👈">
          <a:extLst>
            <a:ext uri="{FF2B5EF4-FFF2-40B4-BE49-F238E27FC236}">
              <a16:creationId xmlns:a16="http://schemas.microsoft.com/office/drawing/2014/main" id="{D77003E8-9B91-4E32-9EA2-A274BD2CCC7B}"/>
            </a:ext>
          </a:extLst>
        </xdr:cNvPr>
        <xdr:cNvSpPr>
          <a:spLocks noChangeAspect="1" noChangeArrowheads="1"/>
        </xdr:cNvSpPr>
      </xdr:nvSpPr>
      <xdr:spPr bwMode="auto">
        <a:xfrm>
          <a:off x="9988343625" y="289369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155</xdr:row>
      <xdr:rowOff>0</xdr:rowOff>
    </xdr:from>
    <xdr:ext cx="304800" cy="303439"/>
    <xdr:sp macro="" textlink="">
      <xdr:nvSpPr>
        <xdr:cNvPr id="203" name="AutoShape 1">
          <a:extLst>
            <a:ext uri="{FF2B5EF4-FFF2-40B4-BE49-F238E27FC236}">
              <a16:creationId xmlns:a16="http://schemas.microsoft.com/office/drawing/2014/main" id="{A6514274-7AD9-4FCA-BBE6-F48B7937337F}"/>
            </a:ext>
          </a:extLst>
        </xdr:cNvPr>
        <xdr:cNvSpPr>
          <a:spLocks noChangeAspect="1" noChangeArrowheads="1"/>
        </xdr:cNvSpPr>
      </xdr:nvSpPr>
      <xdr:spPr bwMode="auto">
        <a:xfrm>
          <a:off x="9988343625" y="3485197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164</xdr:row>
      <xdr:rowOff>0</xdr:rowOff>
    </xdr:from>
    <xdr:ext cx="304800" cy="303439"/>
    <xdr:sp macro="" textlink="">
      <xdr:nvSpPr>
        <xdr:cNvPr id="204" name="AutoShape 3">
          <a:extLst>
            <a:ext uri="{FF2B5EF4-FFF2-40B4-BE49-F238E27FC236}">
              <a16:creationId xmlns:a16="http://schemas.microsoft.com/office/drawing/2014/main" id="{DE0FB317-D126-4902-85CF-013E8D5B5B57}"/>
            </a:ext>
          </a:extLst>
        </xdr:cNvPr>
        <xdr:cNvSpPr>
          <a:spLocks noChangeAspect="1" noChangeArrowheads="1"/>
        </xdr:cNvSpPr>
      </xdr:nvSpPr>
      <xdr:spPr bwMode="auto">
        <a:xfrm>
          <a:off x="9988343625" y="368236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143</xdr:row>
      <xdr:rowOff>0</xdr:rowOff>
    </xdr:from>
    <xdr:ext cx="304800" cy="303439"/>
    <xdr:sp macro="" textlink="">
      <xdr:nvSpPr>
        <xdr:cNvPr id="205" name="AutoShape 5">
          <a:extLst>
            <a:ext uri="{FF2B5EF4-FFF2-40B4-BE49-F238E27FC236}">
              <a16:creationId xmlns:a16="http://schemas.microsoft.com/office/drawing/2014/main" id="{0FA01771-98AE-4864-80EE-74636DAB7FA9}"/>
            </a:ext>
          </a:extLst>
        </xdr:cNvPr>
        <xdr:cNvSpPr>
          <a:spLocks noChangeAspect="1" noChangeArrowheads="1"/>
        </xdr:cNvSpPr>
      </xdr:nvSpPr>
      <xdr:spPr bwMode="auto">
        <a:xfrm>
          <a:off x="9988343625" y="3222307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47</xdr:row>
      <xdr:rowOff>0</xdr:rowOff>
    </xdr:from>
    <xdr:ext cx="304800" cy="303439"/>
    <xdr:sp macro="" textlink="">
      <xdr:nvSpPr>
        <xdr:cNvPr id="206" name="AutoShape 8">
          <a:extLst>
            <a:ext uri="{FF2B5EF4-FFF2-40B4-BE49-F238E27FC236}">
              <a16:creationId xmlns:a16="http://schemas.microsoft.com/office/drawing/2014/main" id="{6B3C6526-9397-4867-B674-E647CB4C2552}"/>
            </a:ext>
          </a:extLst>
        </xdr:cNvPr>
        <xdr:cNvSpPr>
          <a:spLocks noChangeAspect="1" noChangeArrowheads="1"/>
        </xdr:cNvSpPr>
      </xdr:nvSpPr>
      <xdr:spPr bwMode="auto">
        <a:xfrm>
          <a:off x="9988343625" y="1119187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111</xdr:row>
      <xdr:rowOff>0</xdr:rowOff>
    </xdr:from>
    <xdr:ext cx="304800" cy="303439"/>
    <xdr:sp macro="" textlink="">
      <xdr:nvSpPr>
        <xdr:cNvPr id="207" name="AutoShape 14">
          <a:extLst>
            <a:ext uri="{FF2B5EF4-FFF2-40B4-BE49-F238E27FC236}">
              <a16:creationId xmlns:a16="http://schemas.microsoft.com/office/drawing/2014/main" id="{9E8D7329-FFE6-497C-A41C-2F7FD5ABBB0E}"/>
            </a:ext>
          </a:extLst>
        </xdr:cNvPr>
        <xdr:cNvSpPr>
          <a:spLocks noChangeAspect="1" noChangeArrowheads="1"/>
        </xdr:cNvSpPr>
      </xdr:nvSpPr>
      <xdr:spPr bwMode="auto">
        <a:xfrm>
          <a:off x="9988343625" y="2521267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74</xdr:row>
      <xdr:rowOff>0</xdr:rowOff>
    </xdr:from>
    <xdr:ext cx="304800" cy="303439"/>
    <xdr:sp macro="" textlink="">
      <xdr:nvSpPr>
        <xdr:cNvPr id="208" name="AutoShape 57" descr="✅">
          <a:extLst>
            <a:ext uri="{FF2B5EF4-FFF2-40B4-BE49-F238E27FC236}">
              <a16:creationId xmlns:a16="http://schemas.microsoft.com/office/drawing/2014/main" id="{175B790F-D369-45E8-AC28-BF3D65CCB5BA}"/>
            </a:ext>
          </a:extLst>
        </xdr:cNvPr>
        <xdr:cNvSpPr>
          <a:spLocks noChangeAspect="1" noChangeArrowheads="1"/>
        </xdr:cNvSpPr>
      </xdr:nvSpPr>
      <xdr:spPr bwMode="auto">
        <a:xfrm>
          <a:off x="9988343625" y="171069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48</xdr:row>
      <xdr:rowOff>0</xdr:rowOff>
    </xdr:from>
    <xdr:ext cx="304800" cy="303439"/>
    <xdr:sp macro="" textlink="">
      <xdr:nvSpPr>
        <xdr:cNvPr id="209" name="AutoShape 62" descr="⭕️">
          <a:extLst>
            <a:ext uri="{FF2B5EF4-FFF2-40B4-BE49-F238E27FC236}">
              <a16:creationId xmlns:a16="http://schemas.microsoft.com/office/drawing/2014/main" id="{7C6B771B-FB4D-4480-8375-77F80BC43BC2}"/>
            </a:ext>
          </a:extLst>
        </xdr:cNvPr>
        <xdr:cNvSpPr>
          <a:spLocks noChangeAspect="1" noChangeArrowheads="1"/>
        </xdr:cNvSpPr>
      </xdr:nvSpPr>
      <xdr:spPr bwMode="auto">
        <a:xfrm>
          <a:off x="9988343625" y="1141095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49</xdr:row>
      <xdr:rowOff>0</xdr:rowOff>
    </xdr:from>
    <xdr:ext cx="304800" cy="303439"/>
    <xdr:sp macro="" textlink="">
      <xdr:nvSpPr>
        <xdr:cNvPr id="210" name="AutoShape 94">
          <a:extLst>
            <a:ext uri="{FF2B5EF4-FFF2-40B4-BE49-F238E27FC236}">
              <a16:creationId xmlns:a16="http://schemas.microsoft.com/office/drawing/2014/main" id="{6DEBC64E-648A-40AE-A446-2D456C7E3EE7}"/>
            </a:ext>
          </a:extLst>
        </xdr:cNvPr>
        <xdr:cNvSpPr>
          <a:spLocks noChangeAspect="1" noChangeArrowheads="1"/>
        </xdr:cNvSpPr>
      </xdr:nvSpPr>
      <xdr:spPr bwMode="auto">
        <a:xfrm>
          <a:off x="9988343625" y="11630025"/>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10</xdr:col>
      <xdr:colOff>0</xdr:colOff>
      <xdr:row>202</xdr:row>
      <xdr:rowOff>0</xdr:rowOff>
    </xdr:from>
    <xdr:ext cx="9525" cy="9525"/>
    <xdr:pic>
      <xdr:nvPicPr>
        <xdr:cNvPr id="211" name="Picture 210" descr="⭕️">
          <a:extLst>
            <a:ext uri="{FF2B5EF4-FFF2-40B4-BE49-F238E27FC236}">
              <a16:creationId xmlns:a16="http://schemas.microsoft.com/office/drawing/2014/main" id="{DB903102-1F4E-44AA-B252-90FABD0869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8638900" y="451485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4</xdr:col>
      <xdr:colOff>0</xdr:colOff>
      <xdr:row>9</xdr:row>
      <xdr:rowOff>0</xdr:rowOff>
    </xdr:from>
    <xdr:to>
      <xdr:col>4</xdr:col>
      <xdr:colOff>304800</xdr:colOff>
      <xdr:row>10</xdr:row>
      <xdr:rowOff>66221</xdr:rowOff>
    </xdr:to>
    <xdr:sp macro="" textlink="">
      <xdr:nvSpPr>
        <xdr:cNvPr id="212" name="AutoShape 12" descr="🔴">
          <a:extLst>
            <a:ext uri="{FF2B5EF4-FFF2-40B4-BE49-F238E27FC236}">
              <a16:creationId xmlns:a16="http://schemas.microsoft.com/office/drawing/2014/main" id="{E0C5D42D-9105-4C5E-8DEC-C6E1498FF5C8}"/>
            </a:ext>
          </a:extLst>
        </xdr:cNvPr>
        <xdr:cNvSpPr>
          <a:spLocks noChangeAspect="1" noChangeArrowheads="1"/>
        </xdr:cNvSpPr>
      </xdr:nvSpPr>
      <xdr:spPr bwMode="auto">
        <a:xfrm>
          <a:off x="998934375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89</xdr:row>
      <xdr:rowOff>0</xdr:rowOff>
    </xdr:from>
    <xdr:to>
      <xdr:col>4</xdr:col>
      <xdr:colOff>304800</xdr:colOff>
      <xdr:row>90</xdr:row>
      <xdr:rowOff>66221</xdr:rowOff>
    </xdr:to>
    <xdr:sp macro="" textlink="">
      <xdr:nvSpPr>
        <xdr:cNvPr id="213" name="AutoShape 18" descr="📹">
          <a:extLst>
            <a:ext uri="{FF2B5EF4-FFF2-40B4-BE49-F238E27FC236}">
              <a16:creationId xmlns:a16="http://schemas.microsoft.com/office/drawing/2014/main" id="{EF3DCD75-9E6E-4B17-B126-7204249F956C}"/>
            </a:ext>
          </a:extLst>
        </xdr:cNvPr>
        <xdr:cNvSpPr>
          <a:spLocks noChangeAspect="1" noChangeArrowheads="1"/>
        </xdr:cNvSpPr>
      </xdr:nvSpPr>
      <xdr:spPr bwMode="auto">
        <a:xfrm>
          <a:off x="9989343750" y="169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143</xdr:row>
      <xdr:rowOff>0</xdr:rowOff>
    </xdr:from>
    <xdr:to>
      <xdr:col>4</xdr:col>
      <xdr:colOff>304800</xdr:colOff>
      <xdr:row>144</xdr:row>
      <xdr:rowOff>66221</xdr:rowOff>
    </xdr:to>
    <xdr:sp macro="" textlink="">
      <xdr:nvSpPr>
        <xdr:cNvPr id="214" name="AutoShape 21" descr="🔸">
          <a:extLst>
            <a:ext uri="{FF2B5EF4-FFF2-40B4-BE49-F238E27FC236}">
              <a16:creationId xmlns:a16="http://schemas.microsoft.com/office/drawing/2014/main" id="{B9FADFD2-D5FA-4F46-809D-D85349D22035}"/>
            </a:ext>
          </a:extLst>
        </xdr:cNvPr>
        <xdr:cNvSpPr>
          <a:spLocks noChangeAspect="1" noChangeArrowheads="1"/>
        </xdr:cNvSpPr>
      </xdr:nvSpPr>
      <xdr:spPr bwMode="auto">
        <a:xfrm>
          <a:off x="9989343750" y="2724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904875</xdr:colOff>
      <xdr:row>74</xdr:row>
      <xdr:rowOff>0</xdr:rowOff>
    </xdr:from>
    <xdr:to>
      <xdr:col>4</xdr:col>
      <xdr:colOff>228599</xdr:colOff>
      <xdr:row>75</xdr:row>
      <xdr:rowOff>66222</xdr:rowOff>
    </xdr:to>
    <xdr:sp macro="" textlink="">
      <xdr:nvSpPr>
        <xdr:cNvPr id="215" name="AutoShape 8" descr="🔹">
          <a:extLst>
            <a:ext uri="{FF2B5EF4-FFF2-40B4-BE49-F238E27FC236}">
              <a16:creationId xmlns:a16="http://schemas.microsoft.com/office/drawing/2014/main" id="{54B84EDC-6A78-4B0B-9A65-426E98094F35}"/>
            </a:ext>
          </a:extLst>
        </xdr:cNvPr>
        <xdr:cNvSpPr>
          <a:spLocks noChangeAspect="1" noChangeArrowheads="1"/>
        </xdr:cNvSpPr>
      </xdr:nvSpPr>
      <xdr:spPr bwMode="auto">
        <a:xfrm>
          <a:off x="9989353276" y="14097000"/>
          <a:ext cx="304799"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14</xdr:row>
      <xdr:rowOff>0</xdr:rowOff>
    </xdr:from>
    <xdr:to>
      <xdr:col>4</xdr:col>
      <xdr:colOff>304800</xdr:colOff>
      <xdr:row>15</xdr:row>
      <xdr:rowOff>66221</xdr:rowOff>
    </xdr:to>
    <xdr:sp macro="" textlink="">
      <xdr:nvSpPr>
        <xdr:cNvPr id="216" name="AutoShape 57" descr="📷">
          <a:extLst>
            <a:ext uri="{FF2B5EF4-FFF2-40B4-BE49-F238E27FC236}">
              <a16:creationId xmlns:a16="http://schemas.microsoft.com/office/drawing/2014/main" id="{330D6C9C-9C4D-4644-9B8D-01392AF0C763}"/>
            </a:ext>
          </a:extLst>
        </xdr:cNvPr>
        <xdr:cNvSpPr>
          <a:spLocks noChangeAspect="1" noChangeArrowheads="1"/>
        </xdr:cNvSpPr>
      </xdr:nvSpPr>
      <xdr:spPr bwMode="auto">
        <a:xfrm>
          <a:off x="9989343750" y="266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112</xdr:row>
      <xdr:rowOff>0</xdr:rowOff>
    </xdr:from>
    <xdr:to>
      <xdr:col>4</xdr:col>
      <xdr:colOff>304800</xdr:colOff>
      <xdr:row>113</xdr:row>
      <xdr:rowOff>66221</xdr:rowOff>
    </xdr:to>
    <xdr:sp macro="" textlink="">
      <xdr:nvSpPr>
        <xdr:cNvPr id="217" name="AutoShape 67">
          <a:extLst>
            <a:ext uri="{FF2B5EF4-FFF2-40B4-BE49-F238E27FC236}">
              <a16:creationId xmlns:a16="http://schemas.microsoft.com/office/drawing/2014/main" id="{A0239B79-7079-46FD-AB3D-49FF1DBE975E}"/>
            </a:ext>
          </a:extLst>
        </xdr:cNvPr>
        <xdr:cNvSpPr>
          <a:spLocks noChangeAspect="1" noChangeArrowheads="1"/>
        </xdr:cNvSpPr>
      </xdr:nvSpPr>
      <xdr:spPr bwMode="auto">
        <a:xfrm>
          <a:off x="9989343750" y="2133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114</xdr:row>
      <xdr:rowOff>0</xdr:rowOff>
    </xdr:from>
    <xdr:to>
      <xdr:col>4</xdr:col>
      <xdr:colOff>304800</xdr:colOff>
      <xdr:row>115</xdr:row>
      <xdr:rowOff>66221</xdr:rowOff>
    </xdr:to>
    <xdr:sp macro="" textlink="">
      <xdr:nvSpPr>
        <xdr:cNvPr id="218" name="AutoShape 44" descr="🔺">
          <a:extLst>
            <a:ext uri="{FF2B5EF4-FFF2-40B4-BE49-F238E27FC236}">
              <a16:creationId xmlns:a16="http://schemas.microsoft.com/office/drawing/2014/main" id="{DF94F5E9-BCDB-4357-801E-3D9585C7F6E0}"/>
            </a:ext>
          </a:extLst>
        </xdr:cNvPr>
        <xdr:cNvSpPr>
          <a:spLocks noChangeAspect="1" noChangeArrowheads="1"/>
        </xdr:cNvSpPr>
      </xdr:nvSpPr>
      <xdr:spPr bwMode="auto">
        <a:xfrm>
          <a:off x="9989343750" y="217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115</xdr:row>
      <xdr:rowOff>0</xdr:rowOff>
    </xdr:from>
    <xdr:to>
      <xdr:col>4</xdr:col>
      <xdr:colOff>304800</xdr:colOff>
      <xdr:row>116</xdr:row>
      <xdr:rowOff>66221</xdr:rowOff>
    </xdr:to>
    <xdr:sp macro="" textlink="">
      <xdr:nvSpPr>
        <xdr:cNvPr id="219" name="AutoShape 97" descr="📹">
          <a:extLst>
            <a:ext uri="{FF2B5EF4-FFF2-40B4-BE49-F238E27FC236}">
              <a16:creationId xmlns:a16="http://schemas.microsoft.com/office/drawing/2014/main" id="{71C719DF-3248-4412-81FB-3445EB052F1B}"/>
            </a:ext>
          </a:extLst>
        </xdr:cNvPr>
        <xdr:cNvSpPr>
          <a:spLocks noChangeAspect="1" noChangeArrowheads="1"/>
        </xdr:cNvSpPr>
      </xdr:nvSpPr>
      <xdr:spPr bwMode="auto">
        <a:xfrm>
          <a:off x="9989343750" y="219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130</xdr:row>
      <xdr:rowOff>0</xdr:rowOff>
    </xdr:from>
    <xdr:to>
      <xdr:col>4</xdr:col>
      <xdr:colOff>304800</xdr:colOff>
      <xdr:row>131</xdr:row>
      <xdr:rowOff>66221</xdr:rowOff>
    </xdr:to>
    <xdr:sp macro="" textlink="">
      <xdr:nvSpPr>
        <xdr:cNvPr id="220" name="AutoShape 114" descr="📌">
          <a:extLst>
            <a:ext uri="{FF2B5EF4-FFF2-40B4-BE49-F238E27FC236}">
              <a16:creationId xmlns:a16="http://schemas.microsoft.com/office/drawing/2014/main" id="{292A3C90-E921-4189-B8D7-04AE18675B93}"/>
            </a:ext>
          </a:extLst>
        </xdr:cNvPr>
        <xdr:cNvSpPr>
          <a:spLocks noChangeAspect="1" noChangeArrowheads="1"/>
        </xdr:cNvSpPr>
      </xdr:nvSpPr>
      <xdr:spPr bwMode="auto">
        <a:xfrm>
          <a:off x="9989343750" y="2476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131</xdr:row>
      <xdr:rowOff>0</xdr:rowOff>
    </xdr:from>
    <xdr:to>
      <xdr:col>4</xdr:col>
      <xdr:colOff>304800</xdr:colOff>
      <xdr:row>132</xdr:row>
      <xdr:rowOff>66222</xdr:rowOff>
    </xdr:to>
    <xdr:sp macro="" textlink="">
      <xdr:nvSpPr>
        <xdr:cNvPr id="221" name="AutoShape 116" descr="📌">
          <a:extLst>
            <a:ext uri="{FF2B5EF4-FFF2-40B4-BE49-F238E27FC236}">
              <a16:creationId xmlns:a16="http://schemas.microsoft.com/office/drawing/2014/main" id="{56F9AF0B-C179-49B3-8953-755257BEA78D}"/>
            </a:ext>
          </a:extLst>
        </xdr:cNvPr>
        <xdr:cNvSpPr>
          <a:spLocks noChangeAspect="1" noChangeArrowheads="1"/>
        </xdr:cNvSpPr>
      </xdr:nvSpPr>
      <xdr:spPr bwMode="auto">
        <a:xfrm>
          <a:off x="9989343750" y="249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21</xdr:row>
      <xdr:rowOff>0</xdr:rowOff>
    </xdr:from>
    <xdr:to>
      <xdr:col>4</xdr:col>
      <xdr:colOff>304800</xdr:colOff>
      <xdr:row>22</xdr:row>
      <xdr:rowOff>66221</xdr:rowOff>
    </xdr:to>
    <xdr:sp macro="" textlink="">
      <xdr:nvSpPr>
        <xdr:cNvPr id="222" name="AutoShape 119" descr="📌">
          <a:extLst>
            <a:ext uri="{FF2B5EF4-FFF2-40B4-BE49-F238E27FC236}">
              <a16:creationId xmlns:a16="http://schemas.microsoft.com/office/drawing/2014/main" id="{91746690-CB90-4356-ABFB-63FFFB66928D}"/>
            </a:ext>
          </a:extLst>
        </xdr:cNvPr>
        <xdr:cNvSpPr>
          <a:spLocks noChangeAspect="1" noChangeArrowheads="1"/>
        </xdr:cNvSpPr>
      </xdr:nvSpPr>
      <xdr:spPr bwMode="auto">
        <a:xfrm>
          <a:off x="9989343750" y="40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94</xdr:row>
      <xdr:rowOff>0</xdr:rowOff>
    </xdr:from>
    <xdr:to>
      <xdr:col>4</xdr:col>
      <xdr:colOff>304800</xdr:colOff>
      <xdr:row>95</xdr:row>
      <xdr:rowOff>66221</xdr:rowOff>
    </xdr:to>
    <xdr:sp macro="" textlink="">
      <xdr:nvSpPr>
        <xdr:cNvPr id="223" name="AutoShape 126" descr="👈">
          <a:extLst>
            <a:ext uri="{FF2B5EF4-FFF2-40B4-BE49-F238E27FC236}">
              <a16:creationId xmlns:a16="http://schemas.microsoft.com/office/drawing/2014/main" id="{2E6B4EE2-3725-47F8-8104-5A94B8BFE5E8}"/>
            </a:ext>
          </a:extLst>
        </xdr:cNvPr>
        <xdr:cNvSpPr>
          <a:spLocks noChangeAspect="1" noChangeArrowheads="1"/>
        </xdr:cNvSpPr>
      </xdr:nvSpPr>
      <xdr:spPr bwMode="auto">
        <a:xfrm>
          <a:off x="9989343750" y="1790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54</xdr:row>
      <xdr:rowOff>0</xdr:rowOff>
    </xdr:from>
    <xdr:to>
      <xdr:col>4</xdr:col>
      <xdr:colOff>304800</xdr:colOff>
      <xdr:row>55</xdr:row>
      <xdr:rowOff>66221</xdr:rowOff>
    </xdr:to>
    <xdr:sp macro="" textlink="">
      <xdr:nvSpPr>
        <xdr:cNvPr id="224" name="AutoShape 127" descr="👈">
          <a:extLst>
            <a:ext uri="{FF2B5EF4-FFF2-40B4-BE49-F238E27FC236}">
              <a16:creationId xmlns:a16="http://schemas.microsoft.com/office/drawing/2014/main" id="{45A6065B-4115-4C54-B458-2E47839048CE}"/>
            </a:ext>
          </a:extLst>
        </xdr:cNvPr>
        <xdr:cNvSpPr>
          <a:spLocks noChangeAspect="1" noChangeArrowheads="1"/>
        </xdr:cNvSpPr>
      </xdr:nvSpPr>
      <xdr:spPr bwMode="auto">
        <a:xfrm>
          <a:off x="9989343750" y="1028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22</xdr:row>
      <xdr:rowOff>0</xdr:rowOff>
    </xdr:from>
    <xdr:to>
      <xdr:col>4</xdr:col>
      <xdr:colOff>304800</xdr:colOff>
      <xdr:row>23</xdr:row>
      <xdr:rowOff>66222</xdr:rowOff>
    </xdr:to>
    <xdr:sp macro="" textlink="">
      <xdr:nvSpPr>
        <xdr:cNvPr id="225" name="AutoShape 1" descr="✅">
          <a:extLst>
            <a:ext uri="{FF2B5EF4-FFF2-40B4-BE49-F238E27FC236}">
              <a16:creationId xmlns:a16="http://schemas.microsoft.com/office/drawing/2014/main" id="{77859B3D-E4A4-4673-A08B-AE895EB09F85}"/>
            </a:ext>
          </a:extLst>
        </xdr:cNvPr>
        <xdr:cNvSpPr>
          <a:spLocks noChangeAspect="1" noChangeArrowheads="1"/>
        </xdr:cNvSpPr>
      </xdr:nvSpPr>
      <xdr:spPr bwMode="auto">
        <a:xfrm>
          <a:off x="9989343750" y="419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133</xdr:row>
      <xdr:rowOff>0</xdr:rowOff>
    </xdr:from>
    <xdr:to>
      <xdr:col>4</xdr:col>
      <xdr:colOff>304800</xdr:colOff>
      <xdr:row>134</xdr:row>
      <xdr:rowOff>66222</xdr:rowOff>
    </xdr:to>
    <xdr:sp macro="" textlink="">
      <xdr:nvSpPr>
        <xdr:cNvPr id="226" name="AutoShape 4" descr="🔹">
          <a:extLst>
            <a:ext uri="{FF2B5EF4-FFF2-40B4-BE49-F238E27FC236}">
              <a16:creationId xmlns:a16="http://schemas.microsoft.com/office/drawing/2014/main" id="{43BD75D0-A794-44B2-BCC2-750A156E2C73}"/>
            </a:ext>
          </a:extLst>
        </xdr:cNvPr>
        <xdr:cNvSpPr>
          <a:spLocks noChangeAspect="1" noChangeArrowheads="1"/>
        </xdr:cNvSpPr>
      </xdr:nvSpPr>
      <xdr:spPr bwMode="auto">
        <a:xfrm>
          <a:off x="9989343750" y="2533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23</xdr:row>
      <xdr:rowOff>0</xdr:rowOff>
    </xdr:from>
    <xdr:to>
      <xdr:col>4</xdr:col>
      <xdr:colOff>304800</xdr:colOff>
      <xdr:row>24</xdr:row>
      <xdr:rowOff>66221</xdr:rowOff>
    </xdr:to>
    <xdr:sp macro="" textlink="">
      <xdr:nvSpPr>
        <xdr:cNvPr id="227" name="AutoShape 14" descr="📌">
          <a:extLst>
            <a:ext uri="{FF2B5EF4-FFF2-40B4-BE49-F238E27FC236}">
              <a16:creationId xmlns:a16="http://schemas.microsoft.com/office/drawing/2014/main" id="{7D9D0B7F-781B-4C4B-9904-2DE61CAA116D}"/>
            </a:ext>
          </a:extLst>
        </xdr:cNvPr>
        <xdr:cNvSpPr>
          <a:spLocks noChangeAspect="1" noChangeArrowheads="1"/>
        </xdr:cNvSpPr>
      </xdr:nvSpPr>
      <xdr:spPr bwMode="auto">
        <a:xfrm>
          <a:off x="9989343750" y="438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24</xdr:row>
      <xdr:rowOff>0</xdr:rowOff>
    </xdr:from>
    <xdr:to>
      <xdr:col>4</xdr:col>
      <xdr:colOff>304800</xdr:colOff>
      <xdr:row>25</xdr:row>
      <xdr:rowOff>66221</xdr:rowOff>
    </xdr:to>
    <xdr:sp macro="" textlink="">
      <xdr:nvSpPr>
        <xdr:cNvPr id="228" name="AutoShape 15" descr="📌">
          <a:extLst>
            <a:ext uri="{FF2B5EF4-FFF2-40B4-BE49-F238E27FC236}">
              <a16:creationId xmlns:a16="http://schemas.microsoft.com/office/drawing/2014/main" id="{19FB7F0C-8253-42EF-85FC-A8B1AD8A175C}"/>
            </a:ext>
          </a:extLst>
        </xdr:cNvPr>
        <xdr:cNvSpPr>
          <a:spLocks noChangeAspect="1" noChangeArrowheads="1"/>
        </xdr:cNvSpPr>
      </xdr:nvSpPr>
      <xdr:spPr bwMode="auto">
        <a:xfrm>
          <a:off x="9989343750" y="45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77</xdr:row>
      <xdr:rowOff>0</xdr:rowOff>
    </xdr:from>
    <xdr:to>
      <xdr:col>4</xdr:col>
      <xdr:colOff>304800</xdr:colOff>
      <xdr:row>78</xdr:row>
      <xdr:rowOff>66221</xdr:rowOff>
    </xdr:to>
    <xdr:sp macro="" textlink="">
      <xdr:nvSpPr>
        <xdr:cNvPr id="229" name="AutoShape 17" descr="📌">
          <a:extLst>
            <a:ext uri="{FF2B5EF4-FFF2-40B4-BE49-F238E27FC236}">
              <a16:creationId xmlns:a16="http://schemas.microsoft.com/office/drawing/2014/main" id="{A8F3FB16-E256-49CB-8A74-06211248472A}"/>
            </a:ext>
          </a:extLst>
        </xdr:cNvPr>
        <xdr:cNvSpPr>
          <a:spLocks noChangeAspect="1" noChangeArrowheads="1"/>
        </xdr:cNvSpPr>
      </xdr:nvSpPr>
      <xdr:spPr bwMode="auto">
        <a:xfrm>
          <a:off x="9989343750" y="1466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154</xdr:row>
      <xdr:rowOff>0</xdr:rowOff>
    </xdr:from>
    <xdr:to>
      <xdr:col>4</xdr:col>
      <xdr:colOff>304800</xdr:colOff>
      <xdr:row>155</xdr:row>
      <xdr:rowOff>66222</xdr:rowOff>
    </xdr:to>
    <xdr:sp macro="" textlink="">
      <xdr:nvSpPr>
        <xdr:cNvPr id="230" name="AutoShape 19" descr="📌">
          <a:extLst>
            <a:ext uri="{FF2B5EF4-FFF2-40B4-BE49-F238E27FC236}">
              <a16:creationId xmlns:a16="http://schemas.microsoft.com/office/drawing/2014/main" id="{7E379781-AE6B-417F-ACED-FD186F73236A}"/>
            </a:ext>
          </a:extLst>
        </xdr:cNvPr>
        <xdr:cNvSpPr>
          <a:spLocks noChangeAspect="1" noChangeArrowheads="1"/>
        </xdr:cNvSpPr>
      </xdr:nvSpPr>
      <xdr:spPr bwMode="auto">
        <a:xfrm>
          <a:off x="9989343750" y="293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117</xdr:row>
      <xdr:rowOff>0</xdr:rowOff>
    </xdr:from>
    <xdr:to>
      <xdr:col>4</xdr:col>
      <xdr:colOff>304800</xdr:colOff>
      <xdr:row>118</xdr:row>
      <xdr:rowOff>63681</xdr:rowOff>
    </xdr:to>
    <xdr:sp macro="" textlink="">
      <xdr:nvSpPr>
        <xdr:cNvPr id="231" name="AutoShape 15" descr="🔹">
          <a:extLst>
            <a:ext uri="{FF2B5EF4-FFF2-40B4-BE49-F238E27FC236}">
              <a16:creationId xmlns:a16="http://schemas.microsoft.com/office/drawing/2014/main" id="{02E2E505-56BD-4C1F-9FEB-1ACC3FB768A8}"/>
            </a:ext>
          </a:extLst>
        </xdr:cNvPr>
        <xdr:cNvSpPr>
          <a:spLocks noChangeAspect="1" noChangeArrowheads="1"/>
        </xdr:cNvSpPr>
      </xdr:nvSpPr>
      <xdr:spPr bwMode="auto">
        <a:xfrm>
          <a:off x="9989343750" y="222885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38</xdr:row>
      <xdr:rowOff>0</xdr:rowOff>
    </xdr:from>
    <xdr:to>
      <xdr:col>4</xdr:col>
      <xdr:colOff>304800</xdr:colOff>
      <xdr:row>39</xdr:row>
      <xdr:rowOff>63681</xdr:rowOff>
    </xdr:to>
    <xdr:sp macro="" textlink="">
      <xdr:nvSpPr>
        <xdr:cNvPr id="232" name="AutoShape 41" descr="📌">
          <a:extLst>
            <a:ext uri="{FF2B5EF4-FFF2-40B4-BE49-F238E27FC236}">
              <a16:creationId xmlns:a16="http://schemas.microsoft.com/office/drawing/2014/main" id="{6E2DE9C3-6225-4D0D-96B1-471939F7CFA6}"/>
            </a:ext>
          </a:extLst>
        </xdr:cNvPr>
        <xdr:cNvSpPr>
          <a:spLocks noChangeAspect="1" noChangeArrowheads="1"/>
        </xdr:cNvSpPr>
      </xdr:nvSpPr>
      <xdr:spPr bwMode="auto">
        <a:xfrm>
          <a:off x="9989343750" y="72390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146</xdr:row>
      <xdr:rowOff>0</xdr:rowOff>
    </xdr:from>
    <xdr:to>
      <xdr:col>4</xdr:col>
      <xdr:colOff>304800</xdr:colOff>
      <xdr:row>147</xdr:row>
      <xdr:rowOff>63681</xdr:rowOff>
    </xdr:to>
    <xdr:sp macro="" textlink="">
      <xdr:nvSpPr>
        <xdr:cNvPr id="233" name="AutoShape 58" descr="📌">
          <a:extLst>
            <a:ext uri="{FF2B5EF4-FFF2-40B4-BE49-F238E27FC236}">
              <a16:creationId xmlns:a16="http://schemas.microsoft.com/office/drawing/2014/main" id="{FD052CFB-77E8-42D8-8B51-41826FC5A4B8}"/>
            </a:ext>
          </a:extLst>
        </xdr:cNvPr>
        <xdr:cNvSpPr>
          <a:spLocks noChangeAspect="1" noChangeArrowheads="1"/>
        </xdr:cNvSpPr>
      </xdr:nvSpPr>
      <xdr:spPr bwMode="auto">
        <a:xfrm>
          <a:off x="9989343750" y="278130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97</xdr:row>
      <xdr:rowOff>0</xdr:rowOff>
    </xdr:from>
    <xdr:to>
      <xdr:col>4</xdr:col>
      <xdr:colOff>304800</xdr:colOff>
      <xdr:row>98</xdr:row>
      <xdr:rowOff>63682</xdr:rowOff>
    </xdr:to>
    <xdr:sp macro="" textlink="">
      <xdr:nvSpPr>
        <xdr:cNvPr id="234" name="AutoShape 72">
          <a:extLst>
            <a:ext uri="{FF2B5EF4-FFF2-40B4-BE49-F238E27FC236}">
              <a16:creationId xmlns:a16="http://schemas.microsoft.com/office/drawing/2014/main" id="{8A056F21-D8A5-4AFF-B961-F4ED0A2BFAD8}"/>
            </a:ext>
          </a:extLst>
        </xdr:cNvPr>
        <xdr:cNvSpPr>
          <a:spLocks noChangeAspect="1" noChangeArrowheads="1"/>
        </xdr:cNvSpPr>
      </xdr:nvSpPr>
      <xdr:spPr bwMode="auto">
        <a:xfrm>
          <a:off x="9989343750" y="184785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31</xdr:row>
      <xdr:rowOff>0</xdr:rowOff>
    </xdr:from>
    <xdr:to>
      <xdr:col>4</xdr:col>
      <xdr:colOff>304800</xdr:colOff>
      <xdr:row>32</xdr:row>
      <xdr:rowOff>63681</xdr:rowOff>
    </xdr:to>
    <xdr:sp macro="" textlink="">
      <xdr:nvSpPr>
        <xdr:cNvPr id="235" name="AutoShape 14" descr="✅">
          <a:extLst>
            <a:ext uri="{FF2B5EF4-FFF2-40B4-BE49-F238E27FC236}">
              <a16:creationId xmlns:a16="http://schemas.microsoft.com/office/drawing/2014/main" id="{67BD5E22-080C-4094-BBD9-3034ACE7A497}"/>
            </a:ext>
          </a:extLst>
        </xdr:cNvPr>
        <xdr:cNvSpPr>
          <a:spLocks noChangeAspect="1" noChangeArrowheads="1"/>
        </xdr:cNvSpPr>
      </xdr:nvSpPr>
      <xdr:spPr bwMode="auto">
        <a:xfrm>
          <a:off x="9989343750" y="59055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31</xdr:row>
      <xdr:rowOff>0</xdr:rowOff>
    </xdr:from>
    <xdr:to>
      <xdr:col>4</xdr:col>
      <xdr:colOff>304800</xdr:colOff>
      <xdr:row>32</xdr:row>
      <xdr:rowOff>63681</xdr:rowOff>
    </xdr:to>
    <xdr:sp macro="" textlink="">
      <xdr:nvSpPr>
        <xdr:cNvPr id="236" name="AutoShape 17" descr="✅">
          <a:extLst>
            <a:ext uri="{FF2B5EF4-FFF2-40B4-BE49-F238E27FC236}">
              <a16:creationId xmlns:a16="http://schemas.microsoft.com/office/drawing/2014/main" id="{92783219-7597-4CFE-AD10-56AF5ECB3818}"/>
            </a:ext>
          </a:extLst>
        </xdr:cNvPr>
        <xdr:cNvSpPr>
          <a:spLocks noChangeAspect="1" noChangeArrowheads="1"/>
        </xdr:cNvSpPr>
      </xdr:nvSpPr>
      <xdr:spPr bwMode="auto">
        <a:xfrm>
          <a:off x="9989343750" y="59055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147</xdr:row>
      <xdr:rowOff>0</xdr:rowOff>
    </xdr:from>
    <xdr:to>
      <xdr:col>4</xdr:col>
      <xdr:colOff>304800</xdr:colOff>
      <xdr:row>148</xdr:row>
      <xdr:rowOff>63682</xdr:rowOff>
    </xdr:to>
    <xdr:sp macro="" textlink="">
      <xdr:nvSpPr>
        <xdr:cNvPr id="237" name="AutoShape 24">
          <a:extLst>
            <a:ext uri="{FF2B5EF4-FFF2-40B4-BE49-F238E27FC236}">
              <a16:creationId xmlns:a16="http://schemas.microsoft.com/office/drawing/2014/main" id="{89417D41-556C-4E77-A44B-B4DA5118CBA3}"/>
            </a:ext>
          </a:extLst>
        </xdr:cNvPr>
        <xdr:cNvSpPr>
          <a:spLocks noChangeAspect="1" noChangeArrowheads="1"/>
        </xdr:cNvSpPr>
      </xdr:nvSpPr>
      <xdr:spPr bwMode="auto">
        <a:xfrm>
          <a:off x="9989343750" y="280035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147</xdr:row>
      <xdr:rowOff>0</xdr:rowOff>
    </xdr:from>
    <xdr:to>
      <xdr:col>4</xdr:col>
      <xdr:colOff>304800</xdr:colOff>
      <xdr:row>148</xdr:row>
      <xdr:rowOff>63682</xdr:rowOff>
    </xdr:to>
    <xdr:sp macro="" textlink="">
      <xdr:nvSpPr>
        <xdr:cNvPr id="238" name="AutoShape 28" descr="🔹">
          <a:extLst>
            <a:ext uri="{FF2B5EF4-FFF2-40B4-BE49-F238E27FC236}">
              <a16:creationId xmlns:a16="http://schemas.microsoft.com/office/drawing/2014/main" id="{ECDF5D17-A6D0-4B7E-886C-E0142AC2A954}"/>
            </a:ext>
          </a:extLst>
        </xdr:cNvPr>
        <xdr:cNvSpPr>
          <a:spLocks noChangeAspect="1" noChangeArrowheads="1"/>
        </xdr:cNvSpPr>
      </xdr:nvSpPr>
      <xdr:spPr bwMode="auto">
        <a:xfrm>
          <a:off x="9989343750" y="280035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148</xdr:row>
      <xdr:rowOff>0</xdr:rowOff>
    </xdr:from>
    <xdr:to>
      <xdr:col>4</xdr:col>
      <xdr:colOff>304800</xdr:colOff>
      <xdr:row>149</xdr:row>
      <xdr:rowOff>63681</xdr:rowOff>
    </xdr:to>
    <xdr:sp macro="" textlink="">
      <xdr:nvSpPr>
        <xdr:cNvPr id="239" name="AutoShape 123">
          <a:extLst>
            <a:ext uri="{FF2B5EF4-FFF2-40B4-BE49-F238E27FC236}">
              <a16:creationId xmlns:a16="http://schemas.microsoft.com/office/drawing/2014/main" id="{449991ED-72D6-4DE2-B4A1-59380C339336}"/>
            </a:ext>
          </a:extLst>
        </xdr:cNvPr>
        <xdr:cNvSpPr>
          <a:spLocks noChangeAspect="1" noChangeArrowheads="1"/>
        </xdr:cNvSpPr>
      </xdr:nvSpPr>
      <xdr:spPr bwMode="auto">
        <a:xfrm>
          <a:off x="9989343750" y="281940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62</xdr:row>
      <xdr:rowOff>0</xdr:rowOff>
    </xdr:from>
    <xdr:to>
      <xdr:col>4</xdr:col>
      <xdr:colOff>304800</xdr:colOff>
      <xdr:row>63</xdr:row>
      <xdr:rowOff>63682</xdr:rowOff>
    </xdr:to>
    <xdr:sp macro="" textlink="">
      <xdr:nvSpPr>
        <xdr:cNvPr id="240" name="AutoShape 41">
          <a:extLst>
            <a:ext uri="{FF2B5EF4-FFF2-40B4-BE49-F238E27FC236}">
              <a16:creationId xmlns:a16="http://schemas.microsoft.com/office/drawing/2014/main" id="{639EF6BE-7959-483F-9FE5-894A998E777D}"/>
            </a:ext>
          </a:extLst>
        </xdr:cNvPr>
        <xdr:cNvSpPr>
          <a:spLocks noChangeAspect="1" noChangeArrowheads="1"/>
        </xdr:cNvSpPr>
      </xdr:nvSpPr>
      <xdr:spPr bwMode="auto">
        <a:xfrm>
          <a:off x="9989343750" y="118110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81</xdr:row>
      <xdr:rowOff>0</xdr:rowOff>
    </xdr:from>
    <xdr:to>
      <xdr:col>4</xdr:col>
      <xdr:colOff>304800</xdr:colOff>
      <xdr:row>82</xdr:row>
      <xdr:rowOff>63682</xdr:rowOff>
    </xdr:to>
    <xdr:sp macro="" textlink="">
      <xdr:nvSpPr>
        <xdr:cNvPr id="241" name="AutoShape 44" descr="🎥">
          <a:extLst>
            <a:ext uri="{FF2B5EF4-FFF2-40B4-BE49-F238E27FC236}">
              <a16:creationId xmlns:a16="http://schemas.microsoft.com/office/drawing/2014/main" id="{2D234BF4-3928-42F3-BCFF-46C91DDAEE58}"/>
            </a:ext>
          </a:extLst>
        </xdr:cNvPr>
        <xdr:cNvSpPr>
          <a:spLocks noChangeAspect="1" noChangeArrowheads="1"/>
        </xdr:cNvSpPr>
      </xdr:nvSpPr>
      <xdr:spPr bwMode="auto">
        <a:xfrm>
          <a:off x="9989343750" y="154305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62</xdr:row>
      <xdr:rowOff>0</xdr:rowOff>
    </xdr:from>
    <xdr:to>
      <xdr:col>4</xdr:col>
      <xdr:colOff>304800</xdr:colOff>
      <xdr:row>63</xdr:row>
      <xdr:rowOff>63682</xdr:rowOff>
    </xdr:to>
    <xdr:sp macro="" textlink="">
      <xdr:nvSpPr>
        <xdr:cNvPr id="242" name="AutoShape 45" descr="🎥">
          <a:extLst>
            <a:ext uri="{FF2B5EF4-FFF2-40B4-BE49-F238E27FC236}">
              <a16:creationId xmlns:a16="http://schemas.microsoft.com/office/drawing/2014/main" id="{0730A214-6506-4A75-B82D-338409F891A8}"/>
            </a:ext>
          </a:extLst>
        </xdr:cNvPr>
        <xdr:cNvSpPr>
          <a:spLocks noChangeAspect="1" noChangeArrowheads="1"/>
        </xdr:cNvSpPr>
      </xdr:nvSpPr>
      <xdr:spPr bwMode="auto">
        <a:xfrm>
          <a:off x="9989343750" y="118110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64</xdr:row>
      <xdr:rowOff>0</xdr:rowOff>
    </xdr:from>
    <xdr:to>
      <xdr:col>4</xdr:col>
      <xdr:colOff>304800</xdr:colOff>
      <xdr:row>65</xdr:row>
      <xdr:rowOff>63682</xdr:rowOff>
    </xdr:to>
    <xdr:sp macro="" textlink="">
      <xdr:nvSpPr>
        <xdr:cNvPr id="243" name="AutoShape 131">
          <a:extLst>
            <a:ext uri="{FF2B5EF4-FFF2-40B4-BE49-F238E27FC236}">
              <a16:creationId xmlns:a16="http://schemas.microsoft.com/office/drawing/2014/main" id="{6AF92A39-F5FE-4313-A129-15681C754383}"/>
            </a:ext>
          </a:extLst>
        </xdr:cNvPr>
        <xdr:cNvSpPr>
          <a:spLocks noChangeAspect="1" noChangeArrowheads="1"/>
        </xdr:cNvSpPr>
      </xdr:nvSpPr>
      <xdr:spPr bwMode="auto">
        <a:xfrm>
          <a:off x="9989343750" y="121920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124</xdr:row>
      <xdr:rowOff>0</xdr:rowOff>
    </xdr:from>
    <xdr:to>
      <xdr:col>4</xdr:col>
      <xdr:colOff>304800</xdr:colOff>
      <xdr:row>125</xdr:row>
      <xdr:rowOff>63681</xdr:rowOff>
    </xdr:to>
    <xdr:sp macro="" textlink="">
      <xdr:nvSpPr>
        <xdr:cNvPr id="244" name="AutoShape 24">
          <a:extLst>
            <a:ext uri="{FF2B5EF4-FFF2-40B4-BE49-F238E27FC236}">
              <a16:creationId xmlns:a16="http://schemas.microsoft.com/office/drawing/2014/main" id="{A66BC00F-1C76-4213-9397-E22138DB0EF3}"/>
            </a:ext>
          </a:extLst>
        </xdr:cNvPr>
        <xdr:cNvSpPr>
          <a:spLocks noChangeAspect="1" noChangeArrowheads="1"/>
        </xdr:cNvSpPr>
      </xdr:nvSpPr>
      <xdr:spPr bwMode="auto">
        <a:xfrm>
          <a:off x="9989343750" y="23622000"/>
          <a:ext cx="304800" cy="3079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138</xdr:row>
      <xdr:rowOff>0</xdr:rowOff>
    </xdr:from>
    <xdr:to>
      <xdr:col>4</xdr:col>
      <xdr:colOff>304800</xdr:colOff>
      <xdr:row>139</xdr:row>
      <xdr:rowOff>62956</xdr:rowOff>
    </xdr:to>
    <xdr:sp macro="" textlink="">
      <xdr:nvSpPr>
        <xdr:cNvPr id="245" name="AutoShape 40">
          <a:extLst>
            <a:ext uri="{FF2B5EF4-FFF2-40B4-BE49-F238E27FC236}">
              <a16:creationId xmlns:a16="http://schemas.microsoft.com/office/drawing/2014/main" id="{D71A9CFB-2731-42A9-9847-05F91FFDB8D9}"/>
            </a:ext>
          </a:extLst>
        </xdr:cNvPr>
        <xdr:cNvSpPr>
          <a:spLocks noChangeAspect="1" noChangeArrowheads="1"/>
        </xdr:cNvSpPr>
      </xdr:nvSpPr>
      <xdr:spPr bwMode="auto">
        <a:xfrm>
          <a:off x="9989343750" y="26289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82</xdr:row>
      <xdr:rowOff>0</xdr:rowOff>
    </xdr:from>
    <xdr:to>
      <xdr:col>4</xdr:col>
      <xdr:colOff>304800</xdr:colOff>
      <xdr:row>83</xdr:row>
      <xdr:rowOff>62955</xdr:rowOff>
    </xdr:to>
    <xdr:sp macro="" textlink="">
      <xdr:nvSpPr>
        <xdr:cNvPr id="246" name="AutoShape 57">
          <a:extLst>
            <a:ext uri="{FF2B5EF4-FFF2-40B4-BE49-F238E27FC236}">
              <a16:creationId xmlns:a16="http://schemas.microsoft.com/office/drawing/2014/main" id="{B5D1B603-023D-4E7B-9D8D-A8F5728BC324}"/>
            </a:ext>
          </a:extLst>
        </xdr:cNvPr>
        <xdr:cNvSpPr>
          <a:spLocks noChangeAspect="1" noChangeArrowheads="1"/>
        </xdr:cNvSpPr>
      </xdr:nvSpPr>
      <xdr:spPr bwMode="auto">
        <a:xfrm>
          <a:off x="9989343750" y="1562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82</xdr:row>
      <xdr:rowOff>0</xdr:rowOff>
    </xdr:from>
    <xdr:to>
      <xdr:col>4</xdr:col>
      <xdr:colOff>304800</xdr:colOff>
      <xdr:row>83</xdr:row>
      <xdr:rowOff>62955</xdr:rowOff>
    </xdr:to>
    <xdr:sp macro="" textlink="">
      <xdr:nvSpPr>
        <xdr:cNvPr id="247" name="AutoShape 62" descr="🇮🇷">
          <a:extLst>
            <a:ext uri="{FF2B5EF4-FFF2-40B4-BE49-F238E27FC236}">
              <a16:creationId xmlns:a16="http://schemas.microsoft.com/office/drawing/2014/main" id="{45338A0C-B7A5-4457-A51E-B74D638E4CB3}"/>
            </a:ext>
          </a:extLst>
        </xdr:cNvPr>
        <xdr:cNvSpPr>
          <a:spLocks noChangeAspect="1" noChangeArrowheads="1"/>
        </xdr:cNvSpPr>
      </xdr:nvSpPr>
      <xdr:spPr bwMode="auto">
        <a:xfrm>
          <a:off x="9989343750" y="1562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314325</xdr:colOff>
      <xdr:row>82</xdr:row>
      <xdr:rowOff>0</xdr:rowOff>
    </xdr:from>
    <xdr:to>
      <xdr:col>4</xdr:col>
      <xdr:colOff>628650</xdr:colOff>
      <xdr:row>83</xdr:row>
      <xdr:rowOff>62955</xdr:rowOff>
    </xdr:to>
    <xdr:sp macro="" textlink="">
      <xdr:nvSpPr>
        <xdr:cNvPr id="248" name="AutoShape 63" descr="🇮🇶">
          <a:extLst>
            <a:ext uri="{FF2B5EF4-FFF2-40B4-BE49-F238E27FC236}">
              <a16:creationId xmlns:a16="http://schemas.microsoft.com/office/drawing/2014/main" id="{C5920FD4-E517-4CBF-BBDC-2C6D64FC5E49}"/>
            </a:ext>
          </a:extLst>
        </xdr:cNvPr>
        <xdr:cNvSpPr>
          <a:spLocks noChangeAspect="1" noChangeArrowheads="1"/>
        </xdr:cNvSpPr>
      </xdr:nvSpPr>
      <xdr:spPr bwMode="auto">
        <a:xfrm>
          <a:off x="9989029425" y="1562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628650</xdr:colOff>
      <xdr:row>82</xdr:row>
      <xdr:rowOff>0</xdr:rowOff>
    </xdr:from>
    <xdr:to>
      <xdr:col>4</xdr:col>
      <xdr:colOff>929640</xdr:colOff>
      <xdr:row>83</xdr:row>
      <xdr:rowOff>62955</xdr:rowOff>
    </xdr:to>
    <xdr:sp macro="" textlink="">
      <xdr:nvSpPr>
        <xdr:cNvPr id="249" name="AutoShape 64" descr="🏴‍☠️">
          <a:extLst>
            <a:ext uri="{FF2B5EF4-FFF2-40B4-BE49-F238E27FC236}">
              <a16:creationId xmlns:a16="http://schemas.microsoft.com/office/drawing/2014/main" id="{0601FD29-3CA5-4559-8BCC-664155480E73}"/>
            </a:ext>
          </a:extLst>
        </xdr:cNvPr>
        <xdr:cNvSpPr>
          <a:spLocks noChangeAspect="1" noChangeArrowheads="1"/>
        </xdr:cNvSpPr>
      </xdr:nvSpPr>
      <xdr:spPr bwMode="auto">
        <a:xfrm>
          <a:off x="9988715100" y="1562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xdr:col>
      <xdr:colOff>0</xdr:colOff>
      <xdr:row>104</xdr:row>
      <xdr:rowOff>0</xdr:rowOff>
    </xdr:from>
    <xdr:ext cx="304800" cy="303439"/>
    <xdr:sp macro="" textlink="">
      <xdr:nvSpPr>
        <xdr:cNvPr id="250" name="AutoShape 113" descr="📌">
          <a:extLst>
            <a:ext uri="{FF2B5EF4-FFF2-40B4-BE49-F238E27FC236}">
              <a16:creationId xmlns:a16="http://schemas.microsoft.com/office/drawing/2014/main" id="{EEE231BF-C782-48A4-BCD0-939D4F2B0BF6}"/>
            </a:ext>
          </a:extLst>
        </xdr:cNvPr>
        <xdr:cNvSpPr>
          <a:spLocks noChangeAspect="1" noChangeArrowheads="1"/>
        </xdr:cNvSpPr>
      </xdr:nvSpPr>
      <xdr:spPr bwMode="auto">
        <a:xfrm>
          <a:off x="9989343750" y="19812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104</xdr:row>
      <xdr:rowOff>0</xdr:rowOff>
    </xdr:from>
    <xdr:ext cx="304800" cy="303439"/>
    <xdr:sp macro="" textlink="">
      <xdr:nvSpPr>
        <xdr:cNvPr id="251" name="AutoShape 113" descr="📌">
          <a:extLst>
            <a:ext uri="{FF2B5EF4-FFF2-40B4-BE49-F238E27FC236}">
              <a16:creationId xmlns:a16="http://schemas.microsoft.com/office/drawing/2014/main" id="{1D93D464-DAED-4806-8662-91466B7E4270}"/>
            </a:ext>
          </a:extLst>
        </xdr:cNvPr>
        <xdr:cNvSpPr>
          <a:spLocks noChangeAspect="1" noChangeArrowheads="1"/>
        </xdr:cNvSpPr>
      </xdr:nvSpPr>
      <xdr:spPr bwMode="auto">
        <a:xfrm>
          <a:off x="9989343750" y="19812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66</xdr:row>
      <xdr:rowOff>0</xdr:rowOff>
    </xdr:from>
    <xdr:ext cx="304800" cy="303439"/>
    <xdr:sp macro="" textlink="">
      <xdr:nvSpPr>
        <xdr:cNvPr id="252" name="AutoShape 113" descr="📌">
          <a:extLst>
            <a:ext uri="{FF2B5EF4-FFF2-40B4-BE49-F238E27FC236}">
              <a16:creationId xmlns:a16="http://schemas.microsoft.com/office/drawing/2014/main" id="{C162E70F-D361-419D-A643-7493D683FEA0}"/>
            </a:ext>
          </a:extLst>
        </xdr:cNvPr>
        <xdr:cNvSpPr>
          <a:spLocks noChangeAspect="1" noChangeArrowheads="1"/>
        </xdr:cNvSpPr>
      </xdr:nvSpPr>
      <xdr:spPr bwMode="auto">
        <a:xfrm>
          <a:off x="9989343750" y="1257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66</xdr:row>
      <xdr:rowOff>0</xdr:rowOff>
    </xdr:from>
    <xdr:ext cx="304800" cy="303439"/>
    <xdr:sp macro="" textlink="">
      <xdr:nvSpPr>
        <xdr:cNvPr id="253" name="AutoShape 113" descr="📌">
          <a:extLst>
            <a:ext uri="{FF2B5EF4-FFF2-40B4-BE49-F238E27FC236}">
              <a16:creationId xmlns:a16="http://schemas.microsoft.com/office/drawing/2014/main" id="{DA179D32-4B2F-4269-B95A-AFB22D5604A5}"/>
            </a:ext>
          </a:extLst>
        </xdr:cNvPr>
        <xdr:cNvSpPr>
          <a:spLocks noChangeAspect="1" noChangeArrowheads="1"/>
        </xdr:cNvSpPr>
      </xdr:nvSpPr>
      <xdr:spPr bwMode="auto">
        <a:xfrm>
          <a:off x="9989343750" y="1257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139</xdr:row>
      <xdr:rowOff>0</xdr:rowOff>
    </xdr:from>
    <xdr:ext cx="304800" cy="303439"/>
    <xdr:sp macro="" textlink="">
      <xdr:nvSpPr>
        <xdr:cNvPr id="254" name="AutoShape 113" descr="📌">
          <a:extLst>
            <a:ext uri="{FF2B5EF4-FFF2-40B4-BE49-F238E27FC236}">
              <a16:creationId xmlns:a16="http://schemas.microsoft.com/office/drawing/2014/main" id="{CE633DFA-DBD0-4970-A4D2-983D3644774B}"/>
            </a:ext>
          </a:extLst>
        </xdr:cNvPr>
        <xdr:cNvSpPr>
          <a:spLocks noChangeAspect="1" noChangeArrowheads="1"/>
        </xdr:cNvSpPr>
      </xdr:nvSpPr>
      <xdr:spPr bwMode="auto">
        <a:xfrm>
          <a:off x="9989343750" y="26479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139</xdr:row>
      <xdr:rowOff>0</xdr:rowOff>
    </xdr:from>
    <xdr:ext cx="304800" cy="303439"/>
    <xdr:sp macro="" textlink="">
      <xdr:nvSpPr>
        <xdr:cNvPr id="255" name="AutoShape 113" descr="📌">
          <a:extLst>
            <a:ext uri="{FF2B5EF4-FFF2-40B4-BE49-F238E27FC236}">
              <a16:creationId xmlns:a16="http://schemas.microsoft.com/office/drawing/2014/main" id="{55701F82-574D-4270-A79F-AD12C05C1BB8}"/>
            </a:ext>
          </a:extLst>
        </xdr:cNvPr>
        <xdr:cNvSpPr>
          <a:spLocks noChangeAspect="1" noChangeArrowheads="1"/>
        </xdr:cNvSpPr>
      </xdr:nvSpPr>
      <xdr:spPr bwMode="auto">
        <a:xfrm>
          <a:off x="9989343750" y="26479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26</xdr:row>
      <xdr:rowOff>0</xdr:rowOff>
    </xdr:from>
    <xdr:ext cx="304800" cy="303439"/>
    <xdr:sp macro="" textlink="">
      <xdr:nvSpPr>
        <xdr:cNvPr id="256" name="AutoShape 113" descr="📌">
          <a:extLst>
            <a:ext uri="{FF2B5EF4-FFF2-40B4-BE49-F238E27FC236}">
              <a16:creationId xmlns:a16="http://schemas.microsoft.com/office/drawing/2014/main" id="{C6625188-F94F-415A-8173-DB0AE7CBF8E4}"/>
            </a:ext>
          </a:extLst>
        </xdr:cNvPr>
        <xdr:cNvSpPr>
          <a:spLocks noChangeAspect="1" noChangeArrowheads="1"/>
        </xdr:cNvSpPr>
      </xdr:nvSpPr>
      <xdr:spPr bwMode="auto">
        <a:xfrm>
          <a:off x="9989343750" y="495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26</xdr:row>
      <xdr:rowOff>0</xdr:rowOff>
    </xdr:from>
    <xdr:ext cx="304800" cy="303439"/>
    <xdr:sp macro="" textlink="">
      <xdr:nvSpPr>
        <xdr:cNvPr id="257" name="AutoShape 113" descr="📌">
          <a:extLst>
            <a:ext uri="{FF2B5EF4-FFF2-40B4-BE49-F238E27FC236}">
              <a16:creationId xmlns:a16="http://schemas.microsoft.com/office/drawing/2014/main" id="{BED835AA-7344-416E-978B-3551E371FCC5}"/>
            </a:ext>
          </a:extLst>
        </xdr:cNvPr>
        <xdr:cNvSpPr>
          <a:spLocks noChangeAspect="1" noChangeArrowheads="1"/>
        </xdr:cNvSpPr>
      </xdr:nvSpPr>
      <xdr:spPr bwMode="auto">
        <a:xfrm>
          <a:off x="9989343750" y="495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105</xdr:row>
      <xdr:rowOff>0</xdr:rowOff>
    </xdr:from>
    <xdr:ext cx="304800" cy="303439"/>
    <xdr:sp macro="" textlink="">
      <xdr:nvSpPr>
        <xdr:cNvPr id="258" name="AutoShape 113" descr="📌">
          <a:extLst>
            <a:ext uri="{FF2B5EF4-FFF2-40B4-BE49-F238E27FC236}">
              <a16:creationId xmlns:a16="http://schemas.microsoft.com/office/drawing/2014/main" id="{04AD53D1-939B-44FE-BF4F-C8F71D6AD90C}"/>
            </a:ext>
          </a:extLst>
        </xdr:cNvPr>
        <xdr:cNvSpPr>
          <a:spLocks noChangeAspect="1" noChangeArrowheads="1"/>
        </xdr:cNvSpPr>
      </xdr:nvSpPr>
      <xdr:spPr bwMode="auto">
        <a:xfrm>
          <a:off x="9989343750" y="20002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105</xdr:row>
      <xdr:rowOff>0</xdr:rowOff>
    </xdr:from>
    <xdr:ext cx="304800" cy="303439"/>
    <xdr:sp macro="" textlink="">
      <xdr:nvSpPr>
        <xdr:cNvPr id="259" name="AutoShape 113" descr="📌">
          <a:extLst>
            <a:ext uri="{FF2B5EF4-FFF2-40B4-BE49-F238E27FC236}">
              <a16:creationId xmlns:a16="http://schemas.microsoft.com/office/drawing/2014/main" id="{CB571D78-1D09-4894-9D24-D99291B2637A}"/>
            </a:ext>
          </a:extLst>
        </xdr:cNvPr>
        <xdr:cNvSpPr>
          <a:spLocks noChangeAspect="1" noChangeArrowheads="1"/>
        </xdr:cNvSpPr>
      </xdr:nvSpPr>
      <xdr:spPr bwMode="auto">
        <a:xfrm>
          <a:off x="9989343750" y="20002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42</xdr:row>
      <xdr:rowOff>0</xdr:rowOff>
    </xdr:from>
    <xdr:ext cx="304800" cy="303439"/>
    <xdr:sp macro="" textlink="">
      <xdr:nvSpPr>
        <xdr:cNvPr id="260" name="AutoShape 113" descr="📌">
          <a:extLst>
            <a:ext uri="{FF2B5EF4-FFF2-40B4-BE49-F238E27FC236}">
              <a16:creationId xmlns:a16="http://schemas.microsoft.com/office/drawing/2014/main" id="{84527E56-3C41-40C4-9E5C-34AE949E33F0}"/>
            </a:ext>
          </a:extLst>
        </xdr:cNvPr>
        <xdr:cNvSpPr>
          <a:spLocks noChangeAspect="1" noChangeArrowheads="1"/>
        </xdr:cNvSpPr>
      </xdr:nvSpPr>
      <xdr:spPr bwMode="auto">
        <a:xfrm>
          <a:off x="9989343750" y="800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42</xdr:row>
      <xdr:rowOff>0</xdr:rowOff>
    </xdr:from>
    <xdr:ext cx="304800" cy="303439"/>
    <xdr:sp macro="" textlink="">
      <xdr:nvSpPr>
        <xdr:cNvPr id="261" name="AutoShape 113" descr="📌">
          <a:extLst>
            <a:ext uri="{FF2B5EF4-FFF2-40B4-BE49-F238E27FC236}">
              <a16:creationId xmlns:a16="http://schemas.microsoft.com/office/drawing/2014/main" id="{EB075480-76AA-46E3-8C23-750CACC83937}"/>
            </a:ext>
          </a:extLst>
        </xdr:cNvPr>
        <xdr:cNvSpPr>
          <a:spLocks noChangeAspect="1" noChangeArrowheads="1"/>
        </xdr:cNvSpPr>
      </xdr:nvSpPr>
      <xdr:spPr bwMode="auto">
        <a:xfrm>
          <a:off x="9989343750" y="800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70</xdr:row>
      <xdr:rowOff>0</xdr:rowOff>
    </xdr:from>
    <xdr:ext cx="304800" cy="303439"/>
    <xdr:sp macro="" textlink="">
      <xdr:nvSpPr>
        <xdr:cNvPr id="262" name="AutoShape 113" descr="📌">
          <a:extLst>
            <a:ext uri="{FF2B5EF4-FFF2-40B4-BE49-F238E27FC236}">
              <a16:creationId xmlns:a16="http://schemas.microsoft.com/office/drawing/2014/main" id="{069110A2-37C8-4748-AE39-599D86D02FFA}"/>
            </a:ext>
          </a:extLst>
        </xdr:cNvPr>
        <xdr:cNvSpPr>
          <a:spLocks noChangeAspect="1" noChangeArrowheads="1"/>
        </xdr:cNvSpPr>
      </xdr:nvSpPr>
      <xdr:spPr bwMode="auto">
        <a:xfrm>
          <a:off x="9989343750" y="13335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70</xdr:row>
      <xdr:rowOff>0</xdr:rowOff>
    </xdr:from>
    <xdr:ext cx="304800" cy="303439"/>
    <xdr:sp macro="" textlink="">
      <xdr:nvSpPr>
        <xdr:cNvPr id="263" name="AutoShape 113" descr="📌">
          <a:extLst>
            <a:ext uri="{FF2B5EF4-FFF2-40B4-BE49-F238E27FC236}">
              <a16:creationId xmlns:a16="http://schemas.microsoft.com/office/drawing/2014/main" id="{7F524827-6567-4332-9662-C13CDBDF172E}"/>
            </a:ext>
          </a:extLst>
        </xdr:cNvPr>
        <xdr:cNvSpPr>
          <a:spLocks noChangeAspect="1" noChangeArrowheads="1"/>
        </xdr:cNvSpPr>
      </xdr:nvSpPr>
      <xdr:spPr bwMode="auto">
        <a:xfrm>
          <a:off x="9989343750" y="13335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43</xdr:row>
      <xdr:rowOff>0</xdr:rowOff>
    </xdr:from>
    <xdr:ext cx="304800" cy="303439"/>
    <xdr:sp macro="" textlink="">
      <xdr:nvSpPr>
        <xdr:cNvPr id="264" name="AutoShape 113" descr="📌">
          <a:extLst>
            <a:ext uri="{FF2B5EF4-FFF2-40B4-BE49-F238E27FC236}">
              <a16:creationId xmlns:a16="http://schemas.microsoft.com/office/drawing/2014/main" id="{443FD085-E233-4267-8055-0D33411ECC66}"/>
            </a:ext>
          </a:extLst>
        </xdr:cNvPr>
        <xdr:cNvSpPr>
          <a:spLocks noChangeAspect="1" noChangeArrowheads="1"/>
        </xdr:cNvSpPr>
      </xdr:nvSpPr>
      <xdr:spPr bwMode="auto">
        <a:xfrm>
          <a:off x="9989343750" y="8191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43</xdr:row>
      <xdr:rowOff>0</xdr:rowOff>
    </xdr:from>
    <xdr:ext cx="304800" cy="303439"/>
    <xdr:sp macro="" textlink="">
      <xdr:nvSpPr>
        <xdr:cNvPr id="265" name="AutoShape 113" descr="📌">
          <a:extLst>
            <a:ext uri="{FF2B5EF4-FFF2-40B4-BE49-F238E27FC236}">
              <a16:creationId xmlns:a16="http://schemas.microsoft.com/office/drawing/2014/main" id="{17F09FB0-BFF8-45D1-9291-40D4133B9C27}"/>
            </a:ext>
          </a:extLst>
        </xdr:cNvPr>
        <xdr:cNvSpPr>
          <a:spLocks noChangeAspect="1" noChangeArrowheads="1"/>
        </xdr:cNvSpPr>
      </xdr:nvSpPr>
      <xdr:spPr bwMode="auto">
        <a:xfrm>
          <a:off x="9989343750" y="8191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106</xdr:row>
      <xdr:rowOff>0</xdr:rowOff>
    </xdr:from>
    <xdr:ext cx="304800" cy="303439"/>
    <xdr:sp macro="" textlink="">
      <xdr:nvSpPr>
        <xdr:cNvPr id="266" name="AutoShape 113" descr="📌">
          <a:extLst>
            <a:ext uri="{FF2B5EF4-FFF2-40B4-BE49-F238E27FC236}">
              <a16:creationId xmlns:a16="http://schemas.microsoft.com/office/drawing/2014/main" id="{A3B184AD-DC33-453D-B8D6-F437ED0CBA52}"/>
            </a:ext>
          </a:extLst>
        </xdr:cNvPr>
        <xdr:cNvSpPr>
          <a:spLocks noChangeAspect="1" noChangeArrowheads="1"/>
        </xdr:cNvSpPr>
      </xdr:nvSpPr>
      <xdr:spPr bwMode="auto">
        <a:xfrm>
          <a:off x="9989343750" y="2019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106</xdr:row>
      <xdr:rowOff>0</xdr:rowOff>
    </xdr:from>
    <xdr:ext cx="304800" cy="303439"/>
    <xdr:sp macro="" textlink="">
      <xdr:nvSpPr>
        <xdr:cNvPr id="267" name="AutoShape 113" descr="📌">
          <a:extLst>
            <a:ext uri="{FF2B5EF4-FFF2-40B4-BE49-F238E27FC236}">
              <a16:creationId xmlns:a16="http://schemas.microsoft.com/office/drawing/2014/main" id="{12ADB2D9-44A8-4109-A199-B7892EF576F2}"/>
            </a:ext>
          </a:extLst>
        </xdr:cNvPr>
        <xdr:cNvSpPr>
          <a:spLocks noChangeAspect="1" noChangeArrowheads="1"/>
        </xdr:cNvSpPr>
      </xdr:nvSpPr>
      <xdr:spPr bwMode="auto">
        <a:xfrm>
          <a:off x="9989343750" y="2019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152</xdr:row>
      <xdr:rowOff>0</xdr:rowOff>
    </xdr:from>
    <xdr:ext cx="304800" cy="303439"/>
    <xdr:sp macro="" textlink="">
      <xdr:nvSpPr>
        <xdr:cNvPr id="268" name="AutoShape 113" descr="📌">
          <a:extLst>
            <a:ext uri="{FF2B5EF4-FFF2-40B4-BE49-F238E27FC236}">
              <a16:creationId xmlns:a16="http://schemas.microsoft.com/office/drawing/2014/main" id="{2D8C3435-A35F-4F29-A779-D35E23C7B1CD}"/>
            </a:ext>
          </a:extLst>
        </xdr:cNvPr>
        <xdr:cNvSpPr>
          <a:spLocks noChangeAspect="1" noChangeArrowheads="1"/>
        </xdr:cNvSpPr>
      </xdr:nvSpPr>
      <xdr:spPr bwMode="auto">
        <a:xfrm>
          <a:off x="9989343750" y="28956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152</xdr:row>
      <xdr:rowOff>0</xdr:rowOff>
    </xdr:from>
    <xdr:ext cx="304800" cy="303439"/>
    <xdr:sp macro="" textlink="">
      <xdr:nvSpPr>
        <xdr:cNvPr id="269" name="AutoShape 113" descr="📌">
          <a:extLst>
            <a:ext uri="{FF2B5EF4-FFF2-40B4-BE49-F238E27FC236}">
              <a16:creationId xmlns:a16="http://schemas.microsoft.com/office/drawing/2014/main" id="{533054E5-9872-402C-ABCC-178866CF68B6}"/>
            </a:ext>
          </a:extLst>
        </xdr:cNvPr>
        <xdr:cNvSpPr>
          <a:spLocks noChangeAspect="1" noChangeArrowheads="1"/>
        </xdr:cNvSpPr>
      </xdr:nvSpPr>
      <xdr:spPr bwMode="auto">
        <a:xfrm>
          <a:off x="9989343750" y="28956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140</xdr:row>
      <xdr:rowOff>0</xdr:rowOff>
    </xdr:from>
    <xdr:ext cx="304800" cy="303439"/>
    <xdr:sp macro="" textlink="">
      <xdr:nvSpPr>
        <xdr:cNvPr id="270" name="AutoShape 113" descr="📌">
          <a:extLst>
            <a:ext uri="{FF2B5EF4-FFF2-40B4-BE49-F238E27FC236}">
              <a16:creationId xmlns:a16="http://schemas.microsoft.com/office/drawing/2014/main" id="{5BEAB773-35A2-415B-8981-0D608CE90B25}"/>
            </a:ext>
          </a:extLst>
        </xdr:cNvPr>
        <xdr:cNvSpPr>
          <a:spLocks noChangeAspect="1" noChangeArrowheads="1"/>
        </xdr:cNvSpPr>
      </xdr:nvSpPr>
      <xdr:spPr bwMode="auto">
        <a:xfrm>
          <a:off x="9989343750" y="26670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140</xdr:row>
      <xdr:rowOff>0</xdr:rowOff>
    </xdr:from>
    <xdr:ext cx="304800" cy="303439"/>
    <xdr:sp macro="" textlink="">
      <xdr:nvSpPr>
        <xdr:cNvPr id="271" name="AutoShape 113" descr="📌">
          <a:extLst>
            <a:ext uri="{FF2B5EF4-FFF2-40B4-BE49-F238E27FC236}">
              <a16:creationId xmlns:a16="http://schemas.microsoft.com/office/drawing/2014/main" id="{61313DA0-F5CA-426C-943E-F48EBB55F259}"/>
            </a:ext>
          </a:extLst>
        </xdr:cNvPr>
        <xdr:cNvSpPr>
          <a:spLocks noChangeAspect="1" noChangeArrowheads="1"/>
        </xdr:cNvSpPr>
      </xdr:nvSpPr>
      <xdr:spPr bwMode="auto">
        <a:xfrm>
          <a:off x="9989343750" y="26670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44</xdr:row>
      <xdr:rowOff>0</xdr:rowOff>
    </xdr:from>
    <xdr:ext cx="304800" cy="303439"/>
    <xdr:sp macro="" textlink="">
      <xdr:nvSpPr>
        <xdr:cNvPr id="272" name="AutoShape 113" descr="📌">
          <a:extLst>
            <a:ext uri="{FF2B5EF4-FFF2-40B4-BE49-F238E27FC236}">
              <a16:creationId xmlns:a16="http://schemas.microsoft.com/office/drawing/2014/main" id="{EF2E69B2-0F33-44F1-8BF7-396B3179E286}"/>
            </a:ext>
          </a:extLst>
        </xdr:cNvPr>
        <xdr:cNvSpPr>
          <a:spLocks noChangeAspect="1" noChangeArrowheads="1"/>
        </xdr:cNvSpPr>
      </xdr:nvSpPr>
      <xdr:spPr bwMode="auto">
        <a:xfrm>
          <a:off x="9989343750" y="8382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44</xdr:row>
      <xdr:rowOff>0</xdr:rowOff>
    </xdr:from>
    <xdr:ext cx="304800" cy="303439"/>
    <xdr:sp macro="" textlink="">
      <xdr:nvSpPr>
        <xdr:cNvPr id="273" name="AutoShape 113" descr="📌">
          <a:extLst>
            <a:ext uri="{FF2B5EF4-FFF2-40B4-BE49-F238E27FC236}">
              <a16:creationId xmlns:a16="http://schemas.microsoft.com/office/drawing/2014/main" id="{CE9114E8-C436-4E60-BA07-82A854B78643}"/>
            </a:ext>
          </a:extLst>
        </xdr:cNvPr>
        <xdr:cNvSpPr>
          <a:spLocks noChangeAspect="1" noChangeArrowheads="1"/>
        </xdr:cNvSpPr>
      </xdr:nvSpPr>
      <xdr:spPr bwMode="auto">
        <a:xfrm>
          <a:off x="9989343750" y="8382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153</xdr:row>
      <xdr:rowOff>0</xdr:rowOff>
    </xdr:from>
    <xdr:ext cx="304800" cy="303439"/>
    <xdr:sp macro="" textlink="">
      <xdr:nvSpPr>
        <xdr:cNvPr id="274" name="AutoShape 113" descr="📌">
          <a:extLst>
            <a:ext uri="{FF2B5EF4-FFF2-40B4-BE49-F238E27FC236}">
              <a16:creationId xmlns:a16="http://schemas.microsoft.com/office/drawing/2014/main" id="{88B0F03E-51A6-4E43-B67A-DD9C2D2C0B5D}"/>
            </a:ext>
          </a:extLst>
        </xdr:cNvPr>
        <xdr:cNvSpPr>
          <a:spLocks noChangeAspect="1" noChangeArrowheads="1"/>
        </xdr:cNvSpPr>
      </xdr:nvSpPr>
      <xdr:spPr bwMode="auto">
        <a:xfrm>
          <a:off x="9989343750" y="29146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153</xdr:row>
      <xdr:rowOff>0</xdr:rowOff>
    </xdr:from>
    <xdr:ext cx="304800" cy="303439"/>
    <xdr:sp macro="" textlink="">
      <xdr:nvSpPr>
        <xdr:cNvPr id="275" name="AutoShape 113" descr="📌">
          <a:extLst>
            <a:ext uri="{FF2B5EF4-FFF2-40B4-BE49-F238E27FC236}">
              <a16:creationId xmlns:a16="http://schemas.microsoft.com/office/drawing/2014/main" id="{7A24DEBF-C96B-40B2-9042-941708EF9648}"/>
            </a:ext>
          </a:extLst>
        </xdr:cNvPr>
        <xdr:cNvSpPr>
          <a:spLocks noChangeAspect="1" noChangeArrowheads="1"/>
        </xdr:cNvSpPr>
      </xdr:nvSpPr>
      <xdr:spPr bwMode="auto">
        <a:xfrm>
          <a:off x="9989343750" y="29146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162</xdr:row>
      <xdr:rowOff>0</xdr:rowOff>
    </xdr:from>
    <xdr:ext cx="304800" cy="303439"/>
    <xdr:sp macro="" textlink="">
      <xdr:nvSpPr>
        <xdr:cNvPr id="276" name="AutoShape 113" descr="📌">
          <a:extLst>
            <a:ext uri="{FF2B5EF4-FFF2-40B4-BE49-F238E27FC236}">
              <a16:creationId xmlns:a16="http://schemas.microsoft.com/office/drawing/2014/main" id="{082C842F-2FFA-4312-B6EA-F5F686096BF8}"/>
            </a:ext>
          </a:extLst>
        </xdr:cNvPr>
        <xdr:cNvSpPr>
          <a:spLocks noChangeAspect="1" noChangeArrowheads="1"/>
        </xdr:cNvSpPr>
      </xdr:nvSpPr>
      <xdr:spPr bwMode="auto">
        <a:xfrm>
          <a:off x="9989343750" y="3086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162</xdr:row>
      <xdr:rowOff>0</xdr:rowOff>
    </xdr:from>
    <xdr:ext cx="304800" cy="303439"/>
    <xdr:sp macro="" textlink="">
      <xdr:nvSpPr>
        <xdr:cNvPr id="277" name="AutoShape 113" descr="📌">
          <a:extLst>
            <a:ext uri="{FF2B5EF4-FFF2-40B4-BE49-F238E27FC236}">
              <a16:creationId xmlns:a16="http://schemas.microsoft.com/office/drawing/2014/main" id="{255F5EF1-DA1E-4DE8-9001-A3642825EFDB}"/>
            </a:ext>
          </a:extLst>
        </xdr:cNvPr>
        <xdr:cNvSpPr>
          <a:spLocks noChangeAspect="1" noChangeArrowheads="1"/>
        </xdr:cNvSpPr>
      </xdr:nvSpPr>
      <xdr:spPr bwMode="auto">
        <a:xfrm>
          <a:off x="9989343750" y="3086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141</xdr:row>
      <xdr:rowOff>0</xdr:rowOff>
    </xdr:from>
    <xdr:ext cx="304800" cy="303439"/>
    <xdr:sp macro="" textlink="">
      <xdr:nvSpPr>
        <xdr:cNvPr id="278" name="AutoShape 113" descr="📌">
          <a:extLst>
            <a:ext uri="{FF2B5EF4-FFF2-40B4-BE49-F238E27FC236}">
              <a16:creationId xmlns:a16="http://schemas.microsoft.com/office/drawing/2014/main" id="{10DE2A74-B144-4993-961A-1556E3A4ED59}"/>
            </a:ext>
          </a:extLst>
        </xdr:cNvPr>
        <xdr:cNvSpPr>
          <a:spLocks noChangeAspect="1" noChangeArrowheads="1"/>
        </xdr:cNvSpPr>
      </xdr:nvSpPr>
      <xdr:spPr bwMode="auto">
        <a:xfrm>
          <a:off x="9989343750" y="26860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141</xdr:row>
      <xdr:rowOff>0</xdr:rowOff>
    </xdr:from>
    <xdr:ext cx="304800" cy="303439"/>
    <xdr:sp macro="" textlink="">
      <xdr:nvSpPr>
        <xdr:cNvPr id="279" name="AutoShape 113" descr="📌">
          <a:extLst>
            <a:ext uri="{FF2B5EF4-FFF2-40B4-BE49-F238E27FC236}">
              <a16:creationId xmlns:a16="http://schemas.microsoft.com/office/drawing/2014/main" id="{24BEB0D9-D126-4BB3-AE61-02E3FE545B9B}"/>
            </a:ext>
          </a:extLst>
        </xdr:cNvPr>
        <xdr:cNvSpPr>
          <a:spLocks noChangeAspect="1" noChangeArrowheads="1"/>
        </xdr:cNvSpPr>
      </xdr:nvSpPr>
      <xdr:spPr bwMode="auto">
        <a:xfrm>
          <a:off x="9989343750" y="26860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45</xdr:row>
      <xdr:rowOff>0</xdr:rowOff>
    </xdr:from>
    <xdr:ext cx="304800" cy="303439"/>
    <xdr:sp macro="" textlink="">
      <xdr:nvSpPr>
        <xdr:cNvPr id="280" name="AutoShape 113" descr="📌">
          <a:extLst>
            <a:ext uri="{FF2B5EF4-FFF2-40B4-BE49-F238E27FC236}">
              <a16:creationId xmlns:a16="http://schemas.microsoft.com/office/drawing/2014/main" id="{A794DFFF-7174-4B0F-A21B-D23EC94C0692}"/>
            </a:ext>
          </a:extLst>
        </xdr:cNvPr>
        <xdr:cNvSpPr>
          <a:spLocks noChangeAspect="1" noChangeArrowheads="1"/>
        </xdr:cNvSpPr>
      </xdr:nvSpPr>
      <xdr:spPr bwMode="auto">
        <a:xfrm>
          <a:off x="9989343750" y="8572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45</xdr:row>
      <xdr:rowOff>0</xdr:rowOff>
    </xdr:from>
    <xdr:ext cx="304800" cy="303439"/>
    <xdr:sp macro="" textlink="">
      <xdr:nvSpPr>
        <xdr:cNvPr id="281" name="AutoShape 113" descr="📌">
          <a:extLst>
            <a:ext uri="{FF2B5EF4-FFF2-40B4-BE49-F238E27FC236}">
              <a16:creationId xmlns:a16="http://schemas.microsoft.com/office/drawing/2014/main" id="{14911CB5-4FF0-4104-8900-223172B803B5}"/>
            </a:ext>
          </a:extLst>
        </xdr:cNvPr>
        <xdr:cNvSpPr>
          <a:spLocks noChangeAspect="1" noChangeArrowheads="1"/>
        </xdr:cNvSpPr>
      </xdr:nvSpPr>
      <xdr:spPr bwMode="auto">
        <a:xfrm>
          <a:off x="9989343750" y="8572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110</xdr:row>
      <xdr:rowOff>0</xdr:rowOff>
    </xdr:from>
    <xdr:ext cx="304800" cy="303439"/>
    <xdr:sp macro="" textlink="">
      <xdr:nvSpPr>
        <xdr:cNvPr id="282" name="AutoShape 113" descr="📌">
          <a:extLst>
            <a:ext uri="{FF2B5EF4-FFF2-40B4-BE49-F238E27FC236}">
              <a16:creationId xmlns:a16="http://schemas.microsoft.com/office/drawing/2014/main" id="{29F7663A-4A8B-4784-890F-FECF7AC1EBFA}"/>
            </a:ext>
          </a:extLst>
        </xdr:cNvPr>
        <xdr:cNvSpPr>
          <a:spLocks noChangeAspect="1" noChangeArrowheads="1"/>
        </xdr:cNvSpPr>
      </xdr:nvSpPr>
      <xdr:spPr bwMode="auto">
        <a:xfrm>
          <a:off x="9989343750" y="20955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110</xdr:row>
      <xdr:rowOff>0</xdr:rowOff>
    </xdr:from>
    <xdr:ext cx="304800" cy="303439"/>
    <xdr:sp macro="" textlink="">
      <xdr:nvSpPr>
        <xdr:cNvPr id="283" name="AutoShape 113" descr="📌">
          <a:extLst>
            <a:ext uri="{FF2B5EF4-FFF2-40B4-BE49-F238E27FC236}">
              <a16:creationId xmlns:a16="http://schemas.microsoft.com/office/drawing/2014/main" id="{A09817E2-7E27-4745-B15A-6B9A8FEB6FDA}"/>
            </a:ext>
          </a:extLst>
        </xdr:cNvPr>
        <xdr:cNvSpPr>
          <a:spLocks noChangeAspect="1" noChangeArrowheads="1"/>
        </xdr:cNvSpPr>
      </xdr:nvSpPr>
      <xdr:spPr bwMode="auto">
        <a:xfrm>
          <a:off x="9989343750" y="20955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72</xdr:row>
      <xdr:rowOff>0</xdr:rowOff>
    </xdr:from>
    <xdr:ext cx="304800" cy="303439"/>
    <xdr:sp macro="" textlink="">
      <xdr:nvSpPr>
        <xdr:cNvPr id="284" name="AutoShape 113" descr="📌">
          <a:extLst>
            <a:ext uri="{FF2B5EF4-FFF2-40B4-BE49-F238E27FC236}">
              <a16:creationId xmlns:a16="http://schemas.microsoft.com/office/drawing/2014/main" id="{C9A2D138-77A9-41B7-9CE8-0F21B0B0F2C3}"/>
            </a:ext>
          </a:extLst>
        </xdr:cNvPr>
        <xdr:cNvSpPr>
          <a:spLocks noChangeAspect="1" noChangeArrowheads="1"/>
        </xdr:cNvSpPr>
      </xdr:nvSpPr>
      <xdr:spPr bwMode="auto">
        <a:xfrm>
          <a:off x="9989343750" y="13716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72</xdr:row>
      <xdr:rowOff>0</xdr:rowOff>
    </xdr:from>
    <xdr:ext cx="304800" cy="303439"/>
    <xdr:sp macro="" textlink="">
      <xdr:nvSpPr>
        <xdr:cNvPr id="285" name="AutoShape 113" descr="📌">
          <a:extLst>
            <a:ext uri="{FF2B5EF4-FFF2-40B4-BE49-F238E27FC236}">
              <a16:creationId xmlns:a16="http://schemas.microsoft.com/office/drawing/2014/main" id="{E219E57A-5D0C-47CE-9CF5-E5108AA71740}"/>
            </a:ext>
          </a:extLst>
        </xdr:cNvPr>
        <xdr:cNvSpPr>
          <a:spLocks noChangeAspect="1" noChangeArrowheads="1"/>
        </xdr:cNvSpPr>
      </xdr:nvSpPr>
      <xdr:spPr bwMode="auto">
        <a:xfrm>
          <a:off x="9989343750" y="13716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46</xdr:row>
      <xdr:rowOff>0</xdr:rowOff>
    </xdr:from>
    <xdr:ext cx="304800" cy="303439"/>
    <xdr:sp macro="" textlink="">
      <xdr:nvSpPr>
        <xdr:cNvPr id="286" name="AutoShape 113" descr="📌">
          <a:extLst>
            <a:ext uri="{FF2B5EF4-FFF2-40B4-BE49-F238E27FC236}">
              <a16:creationId xmlns:a16="http://schemas.microsoft.com/office/drawing/2014/main" id="{A6EF6A56-FEB4-4F52-8F8D-AB4D780ED986}"/>
            </a:ext>
          </a:extLst>
        </xdr:cNvPr>
        <xdr:cNvSpPr>
          <a:spLocks noChangeAspect="1" noChangeArrowheads="1"/>
        </xdr:cNvSpPr>
      </xdr:nvSpPr>
      <xdr:spPr bwMode="auto">
        <a:xfrm>
          <a:off x="9989343750" y="876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46</xdr:row>
      <xdr:rowOff>0</xdr:rowOff>
    </xdr:from>
    <xdr:ext cx="304800" cy="303439"/>
    <xdr:sp macro="" textlink="">
      <xdr:nvSpPr>
        <xdr:cNvPr id="287" name="AutoShape 113" descr="📌">
          <a:extLst>
            <a:ext uri="{FF2B5EF4-FFF2-40B4-BE49-F238E27FC236}">
              <a16:creationId xmlns:a16="http://schemas.microsoft.com/office/drawing/2014/main" id="{C784D8BD-48A8-4CF3-8AC2-C1FE6E46A292}"/>
            </a:ext>
          </a:extLst>
        </xdr:cNvPr>
        <xdr:cNvSpPr>
          <a:spLocks noChangeAspect="1" noChangeArrowheads="1"/>
        </xdr:cNvSpPr>
      </xdr:nvSpPr>
      <xdr:spPr bwMode="auto">
        <a:xfrm>
          <a:off x="9989343750" y="876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47</xdr:row>
      <xdr:rowOff>0</xdr:rowOff>
    </xdr:from>
    <xdr:ext cx="304800" cy="303439"/>
    <xdr:sp macro="" textlink="">
      <xdr:nvSpPr>
        <xdr:cNvPr id="288" name="AutoShape 113" descr="📌">
          <a:extLst>
            <a:ext uri="{FF2B5EF4-FFF2-40B4-BE49-F238E27FC236}">
              <a16:creationId xmlns:a16="http://schemas.microsoft.com/office/drawing/2014/main" id="{06B641CE-D15C-45CD-A4B2-7888B5D69081}"/>
            </a:ext>
          </a:extLst>
        </xdr:cNvPr>
        <xdr:cNvSpPr>
          <a:spLocks noChangeAspect="1" noChangeArrowheads="1"/>
        </xdr:cNvSpPr>
      </xdr:nvSpPr>
      <xdr:spPr bwMode="auto">
        <a:xfrm>
          <a:off x="9989343750" y="8953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xdr:col>
      <xdr:colOff>0</xdr:colOff>
      <xdr:row>47</xdr:row>
      <xdr:rowOff>0</xdr:rowOff>
    </xdr:from>
    <xdr:ext cx="304800" cy="303439"/>
    <xdr:sp macro="" textlink="">
      <xdr:nvSpPr>
        <xdr:cNvPr id="289" name="AutoShape 113" descr="📌">
          <a:extLst>
            <a:ext uri="{FF2B5EF4-FFF2-40B4-BE49-F238E27FC236}">
              <a16:creationId xmlns:a16="http://schemas.microsoft.com/office/drawing/2014/main" id="{3B9A4CA3-0B77-46F7-AA23-316BCB1F3F6E}"/>
            </a:ext>
          </a:extLst>
        </xdr:cNvPr>
        <xdr:cNvSpPr>
          <a:spLocks noChangeAspect="1" noChangeArrowheads="1"/>
        </xdr:cNvSpPr>
      </xdr:nvSpPr>
      <xdr:spPr bwMode="auto">
        <a:xfrm>
          <a:off x="9989343750" y="8953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4</xdr:col>
      <xdr:colOff>0</xdr:colOff>
      <xdr:row>66</xdr:row>
      <xdr:rowOff>0</xdr:rowOff>
    </xdr:from>
    <xdr:to>
      <xdr:col>4</xdr:col>
      <xdr:colOff>304800</xdr:colOff>
      <xdr:row>67</xdr:row>
      <xdr:rowOff>62956</xdr:rowOff>
    </xdr:to>
    <xdr:sp macro="" textlink="">
      <xdr:nvSpPr>
        <xdr:cNvPr id="290" name="AutoShape 7">
          <a:extLst>
            <a:ext uri="{FF2B5EF4-FFF2-40B4-BE49-F238E27FC236}">
              <a16:creationId xmlns:a16="http://schemas.microsoft.com/office/drawing/2014/main" id="{249CAC75-EB45-4CC1-9C60-02C914B42A32}"/>
            </a:ext>
          </a:extLst>
        </xdr:cNvPr>
        <xdr:cNvSpPr>
          <a:spLocks noChangeAspect="1" noChangeArrowheads="1"/>
        </xdr:cNvSpPr>
      </xdr:nvSpPr>
      <xdr:spPr bwMode="auto">
        <a:xfrm>
          <a:off x="9989343750" y="12573000"/>
          <a:ext cx="304800" cy="3034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139</xdr:row>
      <xdr:rowOff>0</xdr:rowOff>
    </xdr:from>
    <xdr:to>
      <xdr:col>4</xdr:col>
      <xdr:colOff>304800</xdr:colOff>
      <xdr:row>140</xdr:row>
      <xdr:rowOff>62956</xdr:rowOff>
    </xdr:to>
    <xdr:sp macro="" textlink="">
      <xdr:nvSpPr>
        <xdr:cNvPr id="291" name="AutoShape 38" descr="🔺">
          <a:extLst>
            <a:ext uri="{FF2B5EF4-FFF2-40B4-BE49-F238E27FC236}">
              <a16:creationId xmlns:a16="http://schemas.microsoft.com/office/drawing/2014/main" id="{49DFFD5D-D63A-4563-9B94-3D39A614B9A5}"/>
            </a:ext>
          </a:extLst>
        </xdr:cNvPr>
        <xdr:cNvSpPr>
          <a:spLocks noChangeAspect="1" noChangeArrowheads="1"/>
        </xdr:cNvSpPr>
      </xdr:nvSpPr>
      <xdr:spPr bwMode="auto">
        <a:xfrm>
          <a:off x="9989343750" y="26479500"/>
          <a:ext cx="304800" cy="30344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83</xdr:row>
      <xdr:rowOff>0</xdr:rowOff>
    </xdr:from>
    <xdr:to>
      <xdr:col>4</xdr:col>
      <xdr:colOff>304800</xdr:colOff>
      <xdr:row>84</xdr:row>
      <xdr:rowOff>62956</xdr:rowOff>
    </xdr:to>
    <xdr:sp macro="" textlink="">
      <xdr:nvSpPr>
        <xdr:cNvPr id="292" name="AutoShape 39" descr="👈">
          <a:extLst>
            <a:ext uri="{FF2B5EF4-FFF2-40B4-BE49-F238E27FC236}">
              <a16:creationId xmlns:a16="http://schemas.microsoft.com/office/drawing/2014/main" id="{F9477324-FC07-4DAD-90D8-391F699FEE11}"/>
            </a:ext>
          </a:extLst>
        </xdr:cNvPr>
        <xdr:cNvSpPr>
          <a:spLocks noChangeAspect="1" noChangeArrowheads="1"/>
        </xdr:cNvSpPr>
      </xdr:nvSpPr>
      <xdr:spPr bwMode="auto">
        <a:xfrm>
          <a:off x="9989343750" y="15811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26</xdr:row>
      <xdr:rowOff>0</xdr:rowOff>
    </xdr:from>
    <xdr:to>
      <xdr:col>4</xdr:col>
      <xdr:colOff>304800</xdr:colOff>
      <xdr:row>27</xdr:row>
      <xdr:rowOff>62955</xdr:rowOff>
    </xdr:to>
    <xdr:sp macro="" textlink="">
      <xdr:nvSpPr>
        <xdr:cNvPr id="293" name="AutoShape 72" descr="▪️">
          <a:extLst>
            <a:ext uri="{FF2B5EF4-FFF2-40B4-BE49-F238E27FC236}">
              <a16:creationId xmlns:a16="http://schemas.microsoft.com/office/drawing/2014/main" id="{5A5C5612-2147-457D-BB80-98684854F2EC}"/>
            </a:ext>
          </a:extLst>
        </xdr:cNvPr>
        <xdr:cNvSpPr>
          <a:spLocks noChangeAspect="1" noChangeArrowheads="1"/>
        </xdr:cNvSpPr>
      </xdr:nvSpPr>
      <xdr:spPr bwMode="auto">
        <a:xfrm>
          <a:off x="9989343750" y="495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42</xdr:row>
      <xdr:rowOff>0</xdr:rowOff>
    </xdr:from>
    <xdr:to>
      <xdr:col>4</xdr:col>
      <xdr:colOff>304800</xdr:colOff>
      <xdr:row>43</xdr:row>
      <xdr:rowOff>62955</xdr:rowOff>
    </xdr:to>
    <xdr:sp macro="" textlink="">
      <xdr:nvSpPr>
        <xdr:cNvPr id="294" name="AutoShape 112" descr="🇮🇷">
          <a:extLst>
            <a:ext uri="{FF2B5EF4-FFF2-40B4-BE49-F238E27FC236}">
              <a16:creationId xmlns:a16="http://schemas.microsoft.com/office/drawing/2014/main" id="{8CD392D8-A4A8-4715-9682-FE033AC3C3C9}"/>
            </a:ext>
          </a:extLst>
        </xdr:cNvPr>
        <xdr:cNvSpPr>
          <a:spLocks noChangeAspect="1" noChangeArrowheads="1"/>
        </xdr:cNvSpPr>
      </xdr:nvSpPr>
      <xdr:spPr bwMode="auto">
        <a:xfrm>
          <a:off x="9989343750" y="800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314325</xdr:colOff>
      <xdr:row>42</xdr:row>
      <xdr:rowOff>0</xdr:rowOff>
    </xdr:from>
    <xdr:to>
      <xdr:col>4</xdr:col>
      <xdr:colOff>628650</xdr:colOff>
      <xdr:row>43</xdr:row>
      <xdr:rowOff>62955</xdr:rowOff>
    </xdr:to>
    <xdr:sp macro="" textlink="">
      <xdr:nvSpPr>
        <xdr:cNvPr id="295" name="AutoShape 113" descr="🇱🇧">
          <a:extLst>
            <a:ext uri="{FF2B5EF4-FFF2-40B4-BE49-F238E27FC236}">
              <a16:creationId xmlns:a16="http://schemas.microsoft.com/office/drawing/2014/main" id="{9822438D-BC1F-4DEE-AFB9-E847AB8239C0}"/>
            </a:ext>
          </a:extLst>
        </xdr:cNvPr>
        <xdr:cNvSpPr>
          <a:spLocks noChangeAspect="1" noChangeArrowheads="1"/>
        </xdr:cNvSpPr>
      </xdr:nvSpPr>
      <xdr:spPr bwMode="auto">
        <a:xfrm>
          <a:off x="9989029425" y="800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628650</xdr:colOff>
      <xdr:row>42</xdr:row>
      <xdr:rowOff>0</xdr:rowOff>
    </xdr:from>
    <xdr:to>
      <xdr:col>4</xdr:col>
      <xdr:colOff>929640</xdr:colOff>
      <xdr:row>43</xdr:row>
      <xdr:rowOff>62955</xdr:rowOff>
    </xdr:to>
    <xdr:sp macro="" textlink="">
      <xdr:nvSpPr>
        <xdr:cNvPr id="296" name="AutoShape 114" descr="🏴‍☠">
          <a:extLst>
            <a:ext uri="{FF2B5EF4-FFF2-40B4-BE49-F238E27FC236}">
              <a16:creationId xmlns:a16="http://schemas.microsoft.com/office/drawing/2014/main" id="{F17E19D1-483A-4E1A-B8FF-A90C78AC665F}"/>
            </a:ext>
          </a:extLst>
        </xdr:cNvPr>
        <xdr:cNvSpPr>
          <a:spLocks noChangeAspect="1" noChangeArrowheads="1"/>
        </xdr:cNvSpPr>
      </xdr:nvSpPr>
      <xdr:spPr bwMode="auto">
        <a:xfrm>
          <a:off x="9988715100" y="800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125</xdr:row>
      <xdr:rowOff>0</xdr:rowOff>
    </xdr:from>
    <xdr:to>
      <xdr:col>4</xdr:col>
      <xdr:colOff>304800</xdr:colOff>
      <xdr:row>126</xdr:row>
      <xdr:rowOff>62956</xdr:rowOff>
    </xdr:to>
    <xdr:sp macro="" textlink="">
      <xdr:nvSpPr>
        <xdr:cNvPr id="297" name="AutoShape 32">
          <a:extLst>
            <a:ext uri="{FF2B5EF4-FFF2-40B4-BE49-F238E27FC236}">
              <a16:creationId xmlns:a16="http://schemas.microsoft.com/office/drawing/2014/main" id="{66E97311-507C-4397-8354-C3F608496DF1}"/>
            </a:ext>
          </a:extLst>
        </xdr:cNvPr>
        <xdr:cNvSpPr>
          <a:spLocks noChangeAspect="1" noChangeArrowheads="1"/>
        </xdr:cNvSpPr>
      </xdr:nvSpPr>
      <xdr:spPr bwMode="auto">
        <a:xfrm>
          <a:off x="9989343750" y="23812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126</xdr:row>
      <xdr:rowOff>0</xdr:rowOff>
    </xdr:from>
    <xdr:to>
      <xdr:col>4</xdr:col>
      <xdr:colOff>304800</xdr:colOff>
      <xdr:row>127</xdr:row>
      <xdr:rowOff>62955</xdr:rowOff>
    </xdr:to>
    <xdr:sp macro="" textlink="">
      <xdr:nvSpPr>
        <xdr:cNvPr id="298" name="AutoShape 18" descr="👈">
          <a:extLst>
            <a:ext uri="{FF2B5EF4-FFF2-40B4-BE49-F238E27FC236}">
              <a16:creationId xmlns:a16="http://schemas.microsoft.com/office/drawing/2014/main" id="{D2CEA5A1-A963-474F-9E6A-66A34168BE4F}"/>
            </a:ext>
          </a:extLst>
        </xdr:cNvPr>
        <xdr:cNvSpPr>
          <a:spLocks noChangeAspect="1" noChangeArrowheads="1"/>
        </xdr:cNvSpPr>
      </xdr:nvSpPr>
      <xdr:spPr bwMode="auto">
        <a:xfrm>
          <a:off x="9989343750" y="2400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153</xdr:row>
      <xdr:rowOff>0</xdr:rowOff>
    </xdr:from>
    <xdr:to>
      <xdr:col>4</xdr:col>
      <xdr:colOff>304800</xdr:colOff>
      <xdr:row>154</xdr:row>
      <xdr:rowOff>62955</xdr:rowOff>
    </xdr:to>
    <xdr:sp macro="" textlink="">
      <xdr:nvSpPr>
        <xdr:cNvPr id="299" name="AutoShape 1">
          <a:extLst>
            <a:ext uri="{FF2B5EF4-FFF2-40B4-BE49-F238E27FC236}">
              <a16:creationId xmlns:a16="http://schemas.microsoft.com/office/drawing/2014/main" id="{CA4A7C3F-8606-45D2-A79D-B832774EDEEE}"/>
            </a:ext>
          </a:extLst>
        </xdr:cNvPr>
        <xdr:cNvSpPr>
          <a:spLocks noChangeAspect="1" noChangeArrowheads="1"/>
        </xdr:cNvSpPr>
      </xdr:nvSpPr>
      <xdr:spPr bwMode="auto">
        <a:xfrm>
          <a:off x="9989343750" y="29146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162</xdr:row>
      <xdr:rowOff>0</xdr:rowOff>
    </xdr:from>
    <xdr:to>
      <xdr:col>4</xdr:col>
      <xdr:colOff>304800</xdr:colOff>
      <xdr:row>163</xdr:row>
      <xdr:rowOff>53884</xdr:rowOff>
    </xdr:to>
    <xdr:sp macro="" textlink="">
      <xdr:nvSpPr>
        <xdr:cNvPr id="300" name="AutoShape 3">
          <a:extLst>
            <a:ext uri="{FF2B5EF4-FFF2-40B4-BE49-F238E27FC236}">
              <a16:creationId xmlns:a16="http://schemas.microsoft.com/office/drawing/2014/main" id="{8E3D97F5-6C03-49F7-905A-C9A011F16086}"/>
            </a:ext>
          </a:extLst>
        </xdr:cNvPr>
        <xdr:cNvSpPr>
          <a:spLocks noChangeAspect="1" noChangeArrowheads="1"/>
        </xdr:cNvSpPr>
      </xdr:nvSpPr>
      <xdr:spPr bwMode="auto">
        <a:xfrm>
          <a:off x="9989343750" y="30861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141</xdr:row>
      <xdr:rowOff>0</xdr:rowOff>
    </xdr:from>
    <xdr:to>
      <xdr:col>4</xdr:col>
      <xdr:colOff>304800</xdr:colOff>
      <xdr:row>142</xdr:row>
      <xdr:rowOff>62955</xdr:rowOff>
    </xdr:to>
    <xdr:sp macro="" textlink="">
      <xdr:nvSpPr>
        <xdr:cNvPr id="301" name="AutoShape 5">
          <a:extLst>
            <a:ext uri="{FF2B5EF4-FFF2-40B4-BE49-F238E27FC236}">
              <a16:creationId xmlns:a16="http://schemas.microsoft.com/office/drawing/2014/main" id="{BB7B4D30-2A9F-4CB5-A15E-8C15B127918B}"/>
            </a:ext>
          </a:extLst>
        </xdr:cNvPr>
        <xdr:cNvSpPr>
          <a:spLocks noChangeAspect="1" noChangeArrowheads="1"/>
        </xdr:cNvSpPr>
      </xdr:nvSpPr>
      <xdr:spPr bwMode="auto">
        <a:xfrm>
          <a:off x="9989343750" y="26860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45</xdr:row>
      <xdr:rowOff>0</xdr:rowOff>
    </xdr:from>
    <xdr:to>
      <xdr:col>4</xdr:col>
      <xdr:colOff>304800</xdr:colOff>
      <xdr:row>46</xdr:row>
      <xdr:rowOff>62955</xdr:rowOff>
    </xdr:to>
    <xdr:sp macro="" textlink="">
      <xdr:nvSpPr>
        <xdr:cNvPr id="302" name="AutoShape 8">
          <a:extLst>
            <a:ext uri="{FF2B5EF4-FFF2-40B4-BE49-F238E27FC236}">
              <a16:creationId xmlns:a16="http://schemas.microsoft.com/office/drawing/2014/main" id="{AF43B01E-2D86-4B74-8A20-1F3F01A9EB0E}"/>
            </a:ext>
          </a:extLst>
        </xdr:cNvPr>
        <xdr:cNvSpPr>
          <a:spLocks noChangeAspect="1" noChangeArrowheads="1"/>
        </xdr:cNvSpPr>
      </xdr:nvSpPr>
      <xdr:spPr bwMode="auto">
        <a:xfrm>
          <a:off x="9989343750" y="8572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109</xdr:row>
      <xdr:rowOff>0</xdr:rowOff>
    </xdr:from>
    <xdr:to>
      <xdr:col>4</xdr:col>
      <xdr:colOff>304800</xdr:colOff>
      <xdr:row>110</xdr:row>
      <xdr:rowOff>62956</xdr:rowOff>
    </xdr:to>
    <xdr:sp macro="" textlink="">
      <xdr:nvSpPr>
        <xdr:cNvPr id="303" name="AutoShape 14">
          <a:extLst>
            <a:ext uri="{FF2B5EF4-FFF2-40B4-BE49-F238E27FC236}">
              <a16:creationId xmlns:a16="http://schemas.microsoft.com/office/drawing/2014/main" id="{A8654681-EF8F-49ED-834A-F36647FD36EA}"/>
            </a:ext>
          </a:extLst>
        </xdr:cNvPr>
        <xdr:cNvSpPr>
          <a:spLocks noChangeAspect="1" noChangeArrowheads="1"/>
        </xdr:cNvSpPr>
      </xdr:nvSpPr>
      <xdr:spPr bwMode="auto">
        <a:xfrm>
          <a:off x="9989343750" y="20764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72</xdr:row>
      <xdr:rowOff>0</xdr:rowOff>
    </xdr:from>
    <xdr:to>
      <xdr:col>4</xdr:col>
      <xdr:colOff>304800</xdr:colOff>
      <xdr:row>73</xdr:row>
      <xdr:rowOff>62955</xdr:rowOff>
    </xdr:to>
    <xdr:sp macro="" textlink="">
      <xdr:nvSpPr>
        <xdr:cNvPr id="304" name="AutoShape 57" descr="✅">
          <a:extLst>
            <a:ext uri="{FF2B5EF4-FFF2-40B4-BE49-F238E27FC236}">
              <a16:creationId xmlns:a16="http://schemas.microsoft.com/office/drawing/2014/main" id="{A8A3D80C-540C-4530-97EF-6A39F596FBD4}"/>
            </a:ext>
          </a:extLst>
        </xdr:cNvPr>
        <xdr:cNvSpPr>
          <a:spLocks noChangeAspect="1" noChangeArrowheads="1"/>
        </xdr:cNvSpPr>
      </xdr:nvSpPr>
      <xdr:spPr bwMode="auto">
        <a:xfrm>
          <a:off x="9989343750" y="13716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46</xdr:row>
      <xdr:rowOff>0</xdr:rowOff>
    </xdr:from>
    <xdr:to>
      <xdr:col>4</xdr:col>
      <xdr:colOff>304800</xdr:colOff>
      <xdr:row>47</xdr:row>
      <xdr:rowOff>62956</xdr:rowOff>
    </xdr:to>
    <xdr:sp macro="" textlink="">
      <xdr:nvSpPr>
        <xdr:cNvPr id="305" name="AutoShape 62" descr="⭕️">
          <a:extLst>
            <a:ext uri="{FF2B5EF4-FFF2-40B4-BE49-F238E27FC236}">
              <a16:creationId xmlns:a16="http://schemas.microsoft.com/office/drawing/2014/main" id="{E9934AD1-2A8A-4034-98AD-D0C04A15DAEE}"/>
            </a:ext>
          </a:extLst>
        </xdr:cNvPr>
        <xdr:cNvSpPr>
          <a:spLocks noChangeAspect="1" noChangeArrowheads="1"/>
        </xdr:cNvSpPr>
      </xdr:nvSpPr>
      <xdr:spPr bwMode="auto">
        <a:xfrm>
          <a:off x="9989343750" y="87630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47</xdr:row>
      <xdr:rowOff>0</xdr:rowOff>
    </xdr:from>
    <xdr:to>
      <xdr:col>4</xdr:col>
      <xdr:colOff>304800</xdr:colOff>
      <xdr:row>48</xdr:row>
      <xdr:rowOff>62955</xdr:rowOff>
    </xdr:to>
    <xdr:sp macro="" textlink="">
      <xdr:nvSpPr>
        <xdr:cNvPr id="306" name="AutoShape 94">
          <a:extLst>
            <a:ext uri="{FF2B5EF4-FFF2-40B4-BE49-F238E27FC236}">
              <a16:creationId xmlns:a16="http://schemas.microsoft.com/office/drawing/2014/main" id="{773065E5-5642-4359-8F72-7B71D9E067E5}"/>
            </a:ext>
          </a:extLst>
        </xdr:cNvPr>
        <xdr:cNvSpPr>
          <a:spLocks noChangeAspect="1" noChangeArrowheads="1"/>
        </xdr:cNvSpPr>
      </xdr:nvSpPr>
      <xdr:spPr bwMode="auto">
        <a:xfrm>
          <a:off x="9989343750" y="8953500"/>
          <a:ext cx="304800" cy="303439"/>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4</xdr:col>
      <xdr:colOff>0</xdr:colOff>
      <xdr:row>174</xdr:row>
      <xdr:rowOff>0</xdr:rowOff>
    </xdr:from>
    <xdr:to>
      <xdr:col>4</xdr:col>
      <xdr:colOff>19050</xdr:colOff>
      <xdr:row>174</xdr:row>
      <xdr:rowOff>19050</xdr:rowOff>
    </xdr:to>
    <xdr:pic>
      <xdr:nvPicPr>
        <xdr:cNvPr id="307" name="Picture 306" descr="⭕️">
          <a:extLst>
            <a:ext uri="{FF2B5EF4-FFF2-40B4-BE49-F238E27FC236}">
              <a16:creationId xmlns:a16="http://schemas.microsoft.com/office/drawing/2014/main" id="{03BB9DBD-2A0D-470A-B7DE-8DD5C19015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0877275" y="716280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9525</xdr:colOff>
      <xdr:row>1</xdr:row>
      <xdr:rowOff>9525</xdr:rowOff>
    </xdr:to>
    <xdr:pic>
      <xdr:nvPicPr>
        <xdr:cNvPr id="2" name="Picture 1" descr="♦️">
          <a:extLst>
            <a:ext uri="{FF2B5EF4-FFF2-40B4-BE49-F238E27FC236}">
              <a16:creationId xmlns:a16="http://schemas.microsoft.com/office/drawing/2014/main" id="{BF634CB3-CA38-44D6-A839-373C9B719B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9711415" y="205740"/>
          <a:ext cx="952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D173CA-D763-42BE-87E9-550A8F660A6D}" name="Table1" displayName="Table1" ref="A2:K303" totalsRowShown="0" headerRowDxfId="37" dataDxfId="35" headerRowBorderDxfId="36" tableBorderDxfId="34" totalsRowBorderDxfId="33">
  <autoFilter ref="A2:K303" xr:uid="{E4D173CA-D763-42BE-87E9-550A8F660A6D}"/>
  <tableColumns count="11">
    <tableColumn id="1" xr3:uid="{47F2FA9C-0A40-4EDF-A98F-660128D72D41}" name="شناسه خبر" dataDxfId="32"/>
    <tableColumn id="2" xr3:uid="{6520FF76-15DF-421A-BB78-B170520F901D}" name="تاریخ انتشار" dataDxfId="31"/>
    <tableColumn id="17" xr3:uid="{A7A40A0F-B99B-4822-B0A3-BEB607BCD66A}" name="ساعت انتشار" dataDxfId="30"/>
    <tableColumn id="3" xr3:uid="{C09755C2-13FD-4262-B200-E03AA657B432}" name="منبع" dataDxfId="29"/>
    <tableColumn id="4" xr3:uid="{585914E9-3F1C-40D7-A6B5-7396E2F70A22}" name="تیتر خبر" dataDxfId="28"/>
    <tableColumn id="10" xr3:uid="{741725C3-0C21-4793-906C-213DAE5DFE7D}" name="اطمینان از وقوع خبر" dataDxfId="27"/>
    <tableColumn id="6" xr3:uid="{2C3C15F6-5E86-4168-8E94-7A59825C7642}" name="چقدر بر تغییر قیمت طلا اثر دارد؟" dataDxfId="26"/>
    <tableColumn id="7" xr3:uid="{3D9F9EFD-FAF9-436A-81A0-993A9F5234CB}" name="چقدربا امنیت مرتبط است ؟" dataDxfId="25"/>
    <tableColumn id="9" xr3:uid="{7B850AB4-7995-477C-A0DA-F898DCADEE56}" name="جهت طلا" dataDxfId="24"/>
    <tableColumn id="16" xr3:uid="{ADBE6C4D-5F72-4806-96DC-CB9AF7233384}" name="وضعیت اطلاع رسانی" dataDxfId="23">
      <calculatedColumnFormula array="1">_xlfn.LET(
  _xlpm.mapL, منابع!$H$11:$H$15,
  _xlpm.mapN, منابع!$I$11:$I$15,
  _xlpm.C, _xlfn.XLOOKUP(F3,_xlpm.mapL,_xlpm.mapN,""),
  _xlpm.G, _xlfn.XLOOKUP(G3,_xlpm.mapL,_xlpm.mapN,""),
  _xlpm.S, _xlfn.XLOOKUP(H3,_xlpm.mapL,_xlpm.mapN,""),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calculatedColumnFormula>
    </tableColumn>
    <tableColumn id="5" xr3:uid="{39B731BF-69DE-4D8B-83F9-BE29C4606AD4}" name="توضیحات" dataDxfId="2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6F63C82-F57C-4E25-B80C-CA4C3795B5E5}" name="Table4" displayName="Table4" ref="A1:I100" totalsRowShown="0" headerRowDxfId="21" dataDxfId="19" headerRowBorderDxfId="20" tableBorderDxfId="18" totalsRowBorderDxfId="17">
  <autoFilter ref="A1:I100" xr:uid="{06F63C82-F57C-4E25-B80C-CA4C3795B5E5}"/>
  <tableColumns count="9">
    <tableColumn id="1" xr3:uid="{4870B527-B47E-48B6-847D-A5F44464EC97}" name="شناسه خبر" dataDxfId="16"/>
    <tableColumn id="2" xr3:uid="{98421C89-4471-41E9-B399-32A1C1D166DD}" name="تاریخ" dataDxfId="15"/>
    <tableColumn id="3" xr3:uid="{A67B5319-99ED-436B-9D58-427CACE9D385}" name="تیتر خلاصه" dataDxfId="14"/>
    <tableColumn id="4" xr3:uid="{7B5B177D-B99B-424D-B582-F6F0B7F881C4}" name="نوع اثر (اقتصادی / امنیتی / سیاسی / روانی بازار)" dataDxfId="13"/>
    <tableColumn id="5" xr3:uid="{8D876C99-D30F-49EE-AB2A-209DD6936472}" name="جهت اثر بر دلار" dataDxfId="12"/>
    <tableColumn id="6" xr3:uid="{0A43039A-E729-42F7-B213-3F474B759AA6}" name="جهت اثر بر طلا" dataDxfId="11"/>
    <tableColumn id="7" xr3:uid="{C265613F-711D-41FD-BFB8-9054817FCBAE}" name="جهت اثر بر نفت" dataDxfId="10"/>
    <tableColumn id="8" xr3:uid="{E7CD4C12-C3EA-42D1-80B9-1B049CDC640F}" name="سطح اطمینان (۱ تا 10)" dataDxfId="9"/>
    <tableColumn id="9" xr3:uid="{4D05833E-403B-43D5-8B82-FD12F5537F01}" name="یادداشت" dataDxfId="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hyperlink" Target="https://t.me/Middle_East_Spectator" TargetMode="External"/><Relationship Id="rId3" Type="http://schemas.openxmlformats.org/officeDocument/2006/relationships/hyperlink" Target="https://t.me/eghtesadonline" TargetMode="External"/><Relationship Id="rId7" Type="http://schemas.openxmlformats.org/officeDocument/2006/relationships/hyperlink" Target="https://t.me/almayadeen" TargetMode="External"/><Relationship Id="rId2" Type="http://schemas.openxmlformats.org/officeDocument/2006/relationships/hyperlink" Target="https://t.me/isna94" TargetMode="External"/><Relationship Id="rId1" Type="http://schemas.openxmlformats.org/officeDocument/2006/relationships/hyperlink" Target="https://t.me/akhbarefori" TargetMode="External"/><Relationship Id="rId6" Type="http://schemas.openxmlformats.org/officeDocument/2006/relationships/hyperlink" Target="https://t.me/AjaNews" TargetMode="External"/><Relationship Id="rId5" Type="http://schemas.openxmlformats.org/officeDocument/2006/relationships/hyperlink" Target="https://t.me/bbcpersian" TargetMode="External"/><Relationship Id="rId10" Type="http://schemas.openxmlformats.org/officeDocument/2006/relationships/drawing" Target="../drawings/drawing2.xml"/><Relationship Id="rId4" Type="http://schemas.openxmlformats.org/officeDocument/2006/relationships/hyperlink" Target="https://t.me/farsna" TargetMode="External"/><Relationship Id="rId9" Type="http://schemas.openxmlformats.org/officeDocument/2006/relationships/hyperlink" Target="https://t.me/MiddleEastEye_T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504"/>
  <sheetViews>
    <sheetView rightToLeft="1" tabSelected="1" zoomScale="140" zoomScaleNormal="140" workbookViewId="0">
      <pane xSplit="5" ySplit="2" topLeftCell="F134" activePane="bottomRight" state="frozen"/>
      <selection pane="topRight" activeCell="F1" sqref="F1"/>
      <selection pane="bottomLeft" activeCell="A3" sqref="A3"/>
      <selection pane="bottomRight" activeCell="F160" sqref="F160"/>
    </sheetView>
  </sheetViews>
  <sheetFormatPr baseColWidth="10" defaultColWidth="8.83203125" defaultRowHeight="15"/>
  <cols>
    <col min="1" max="1" width="13.83203125" bestFit="1" customWidth="1"/>
    <col min="2" max="2" width="9.5" bestFit="1" customWidth="1"/>
    <col min="3" max="3" width="10.5" customWidth="1"/>
    <col min="4" max="4" width="14.6640625" bestFit="1" customWidth="1"/>
    <col min="5" max="5" width="60" style="30" customWidth="1"/>
    <col min="6" max="6" width="11" customWidth="1"/>
    <col min="7" max="7" width="12.33203125" customWidth="1"/>
    <col min="8" max="8" width="13" customWidth="1"/>
    <col min="10" max="10" width="18.6640625" style="31" customWidth="1"/>
    <col min="11" max="11" width="60" style="30" customWidth="1"/>
  </cols>
  <sheetData>
    <row r="2" spans="1:12" s="4" customFormat="1" ht="48">
      <c r="A2" s="34" t="s">
        <v>0</v>
      </c>
      <c r="B2" s="35" t="s">
        <v>65</v>
      </c>
      <c r="C2" s="35" t="s">
        <v>64</v>
      </c>
      <c r="D2" s="35" t="s">
        <v>10</v>
      </c>
      <c r="E2" s="35" t="s">
        <v>2</v>
      </c>
      <c r="F2" s="36" t="s">
        <v>119</v>
      </c>
      <c r="G2" s="37" t="s">
        <v>118</v>
      </c>
      <c r="H2" s="38" t="s">
        <v>98</v>
      </c>
      <c r="I2" s="39" t="s">
        <v>99</v>
      </c>
      <c r="J2" s="33" t="s">
        <v>121</v>
      </c>
      <c r="K2" s="64" t="s">
        <v>66</v>
      </c>
    </row>
    <row r="3" spans="1:12">
      <c r="A3" s="40">
        <v>1</v>
      </c>
      <c r="B3" s="41" t="s">
        <v>123</v>
      </c>
      <c r="C3" s="42">
        <v>0.93680555555555556</v>
      </c>
      <c r="D3" s="43" t="s">
        <v>122</v>
      </c>
      <c r="E3" s="67" t="s">
        <v>124</v>
      </c>
      <c r="F3" s="43" t="s">
        <v>95</v>
      </c>
      <c r="G3" s="41" t="s">
        <v>96</v>
      </c>
      <c r="H3" s="41" t="s">
        <v>95</v>
      </c>
      <c r="I3" s="41" t="s">
        <v>101</v>
      </c>
      <c r="J3" s="32" t="str" cm="1">
        <f t="array" ref="J3">_xlfn.LET(
  _xlpm.mapL, منابع!$H$11:$H$15,
  _xlpm.mapN, منابع!$I$11:$I$15,
  _xlpm.C, _xlfn.XLOOKUP(F3,_xlpm.mapL,_xlpm.mapN,""),
  _xlpm.G, _xlfn.XLOOKUP(G3,_xlpm.mapL,_xlpm.mapN,""),
  _xlpm.S, _xlfn.XLOOKUP(H3,_xlpm.mapL,_xlpm.mapN,""),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3" s="66" t="s">
        <v>125</v>
      </c>
      <c r="L3" s="25"/>
    </row>
    <row r="4" spans="1:12">
      <c r="A4" s="40">
        <v>2</v>
      </c>
      <c r="B4" s="41" t="s">
        <v>123</v>
      </c>
      <c r="C4" s="42">
        <v>0.94166666666666665</v>
      </c>
      <c r="D4" s="45" t="s">
        <v>122</v>
      </c>
      <c r="E4" s="67" t="s">
        <v>126</v>
      </c>
      <c r="F4" s="43" t="s">
        <v>95</v>
      </c>
      <c r="G4" s="41" t="s">
        <v>95</v>
      </c>
      <c r="H4" s="41" t="s">
        <v>96</v>
      </c>
      <c r="I4" s="41" t="s">
        <v>101</v>
      </c>
      <c r="J4" s="32" t="str" cm="1">
        <f t="array" ref="J4">_xlfn.LET(
  _xlpm.mapL, منابع!$H$11:$H$15,
  _xlpm.mapN, منابع!$I$11:$I$15,
  _xlpm.C, _xlfn.XLOOKUP(F4,_xlpm.mapL,_xlpm.mapN,""),
  _xlpm.G, _xlfn.XLOOKUP(G4,_xlpm.mapL,_xlpm.mapN,""),
  _xlpm.S, _xlfn.XLOOKUP(H4,_xlpm.mapL,_xlpm.mapN,""),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4" s="66" t="s">
        <v>127</v>
      </c>
    </row>
    <row r="5" spans="1:12">
      <c r="A5" s="40">
        <v>3</v>
      </c>
      <c r="B5" s="41" t="s">
        <v>123</v>
      </c>
      <c r="C5" s="42">
        <v>0.93958333333333333</v>
      </c>
      <c r="D5" s="43" t="s">
        <v>130</v>
      </c>
      <c r="E5" s="67" t="s">
        <v>129</v>
      </c>
      <c r="F5" s="43" t="s">
        <v>96</v>
      </c>
      <c r="G5" s="41" t="s">
        <v>96</v>
      </c>
      <c r="H5" s="41" t="s">
        <v>95</v>
      </c>
      <c r="I5" s="41" t="s">
        <v>101</v>
      </c>
      <c r="J5" s="32" t="str" cm="1">
        <f t="array" ref="J5">_xlfn.LET(
  _xlpm.mapL, منابع!$H$11:$H$15,
  _xlpm.mapN, منابع!$I$11:$I$15,
  _xlpm.C, _xlfn.XLOOKUP(F5,_xlpm.mapL,_xlpm.mapN,""),
  _xlpm.G, _xlfn.XLOOKUP(G5,_xlpm.mapL,_xlpm.mapN,""),
  _xlpm.S, _xlfn.XLOOKUP(H5,_xlpm.mapL,_xlpm.mapN,""),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5" s="66" t="s">
        <v>128</v>
      </c>
    </row>
    <row r="6" spans="1:12">
      <c r="A6" s="40">
        <v>4</v>
      </c>
      <c r="B6" s="41" t="s">
        <v>123</v>
      </c>
      <c r="C6" s="42">
        <v>0.97222222222222221</v>
      </c>
      <c r="D6" s="43" t="s">
        <v>122</v>
      </c>
      <c r="E6" s="67" t="s">
        <v>132</v>
      </c>
      <c r="F6" s="43" t="s">
        <v>96</v>
      </c>
      <c r="G6" s="41" t="s">
        <v>95</v>
      </c>
      <c r="H6" s="41" t="s">
        <v>96</v>
      </c>
      <c r="I6" s="41" t="s">
        <v>101</v>
      </c>
      <c r="J6" s="32" t="str" cm="1">
        <f t="array" ref="J6">_xlfn.LET(
  _xlpm.mapL, منابع!$H$11:$H$15,
  _xlpm.mapN, منابع!$I$11:$I$15,
  _xlpm.C, _xlfn.XLOOKUP(F6,_xlpm.mapL,_xlpm.mapN,""),
  _xlpm.G, _xlfn.XLOOKUP(G6,_xlpm.mapL,_xlpm.mapN,""),
  _xlpm.S, _xlfn.XLOOKUP(H6,_xlpm.mapL,_xlpm.mapN,""),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6" s="66" t="s">
        <v>131</v>
      </c>
    </row>
    <row r="7" spans="1:12">
      <c r="A7" s="40">
        <v>5</v>
      </c>
      <c r="B7" s="41" t="s">
        <v>133</v>
      </c>
      <c r="C7" s="42">
        <v>9.7222222222222224E-3</v>
      </c>
      <c r="D7" s="43" t="s">
        <v>122</v>
      </c>
      <c r="E7" s="67" t="s">
        <v>134</v>
      </c>
      <c r="F7" s="43" t="s">
        <v>95</v>
      </c>
      <c r="G7" s="41" t="s">
        <v>94</v>
      </c>
      <c r="H7" s="41" t="s">
        <v>95</v>
      </c>
      <c r="I7" s="41" t="s">
        <v>88</v>
      </c>
      <c r="J7" s="32" t="str" cm="1">
        <f t="array" ref="J7">_xlfn.LET(
  _xlpm.mapL, منابع!$H$11:$H$15,
  _xlpm.mapN, منابع!$I$11:$I$15,
  _xlpm.C, _xlfn.XLOOKUP(F7,_xlpm.mapL,_xlpm.mapN,""),
  _xlpm.G, _xlfn.XLOOKUP(G7,_xlpm.mapL,_xlpm.mapN,""),
  _xlpm.S, _xlfn.XLOOKUP(H7,_xlpm.mapL,_xlpm.mapN,""),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7" s="66" t="s">
        <v>135</v>
      </c>
    </row>
    <row r="8" spans="1:12">
      <c r="A8" s="40">
        <v>6</v>
      </c>
      <c r="B8" s="41" t="s">
        <v>133</v>
      </c>
      <c r="C8" s="42">
        <v>1.5277777777777777E-2</v>
      </c>
      <c r="D8" s="43" t="s">
        <v>122</v>
      </c>
      <c r="E8" s="68" t="s">
        <v>136</v>
      </c>
      <c r="F8" s="43" t="s">
        <v>96</v>
      </c>
      <c r="G8" s="41" t="s">
        <v>95</v>
      </c>
      <c r="H8" s="41" t="s">
        <v>96</v>
      </c>
      <c r="I8" s="41" t="s">
        <v>101</v>
      </c>
      <c r="J8" s="32" t="str" cm="1">
        <f t="array" ref="J8">_xlfn.LET(
  _xlpm.mapL, منابع!$H$11:$H$15,
  _xlpm.mapN, منابع!$I$11:$I$15,
  _xlpm.C, _xlfn.XLOOKUP(F8,_xlpm.mapL,_xlpm.mapN,""),
  _xlpm.G, _xlfn.XLOOKUP(G8,_xlpm.mapL,_xlpm.mapN,""),
  _xlpm.S, _xlfn.XLOOKUP(H8,_xlpm.mapL,_xlpm.mapN,""),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8" s="66" t="s">
        <v>137</v>
      </c>
    </row>
    <row r="9" spans="1:12">
      <c r="A9" s="40">
        <v>7</v>
      </c>
      <c r="B9" s="41" t="s">
        <v>133</v>
      </c>
      <c r="C9" s="42">
        <v>3.888888888888889E-2</v>
      </c>
      <c r="D9" s="43" t="s">
        <v>122</v>
      </c>
      <c r="E9" s="68" t="s">
        <v>138</v>
      </c>
      <c r="F9" s="43" t="s">
        <v>96</v>
      </c>
      <c r="G9" s="41" t="s">
        <v>95</v>
      </c>
      <c r="H9" s="41" t="s">
        <v>96</v>
      </c>
      <c r="I9" s="41" t="s">
        <v>101</v>
      </c>
      <c r="J9" s="32" t="str" cm="1">
        <f t="array" ref="J9">_xlfn.LET(
  _xlpm.mapL, منابع!$H$11:$H$15,
  _xlpm.mapN, منابع!$I$11:$I$15,
  _xlpm.C, _xlfn.XLOOKUP(F9,_xlpm.mapL,_xlpm.mapN,""),
  _xlpm.G, _xlfn.XLOOKUP(G9,_xlpm.mapL,_xlpm.mapN,""),
  _xlpm.S, _xlfn.XLOOKUP(H9,_xlpm.mapL,_xlpm.mapN,""),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9" s="66" t="s">
        <v>139</v>
      </c>
    </row>
    <row r="10" spans="1:12">
      <c r="A10" s="40">
        <v>8</v>
      </c>
      <c r="B10" s="41" t="s">
        <v>133</v>
      </c>
      <c r="C10" s="42">
        <v>4.3055555555555555E-2</v>
      </c>
      <c r="D10" s="43" t="s">
        <v>122</v>
      </c>
      <c r="E10" s="68" t="s">
        <v>141</v>
      </c>
      <c r="F10" s="43" t="s">
        <v>95</v>
      </c>
      <c r="G10" s="41" t="s">
        <v>94</v>
      </c>
      <c r="H10" s="41" t="s">
        <v>96</v>
      </c>
      <c r="I10" s="41" t="s">
        <v>101</v>
      </c>
      <c r="J10" s="32" t="str" cm="1">
        <f t="array" ref="J10">_xlfn.LET(
  _xlpm.mapL, منابع!$H$11:$H$15,
  _xlpm.mapN, منابع!$I$11:$I$15,
  _xlpm.C, _xlfn.XLOOKUP(F10,_xlpm.mapL,_xlpm.mapN,""),
  _xlpm.G, _xlfn.XLOOKUP(G10,_xlpm.mapL,_xlpm.mapN,""),
  _xlpm.S, _xlfn.XLOOKUP(H10,_xlpm.mapL,_xlpm.mapN,""),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0" s="69" t="s">
        <v>140</v>
      </c>
    </row>
    <row r="11" spans="1:12">
      <c r="A11" s="40">
        <v>9</v>
      </c>
      <c r="B11" s="41" t="s">
        <v>133</v>
      </c>
      <c r="C11" s="42">
        <v>0.12291666666666666</v>
      </c>
      <c r="D11" s="43" t="s">
        <v>122</v>
      </c>
      <c r="E11" s="68" t="s">
        <v>142</v>
      </c>
      <c r="F11" s="43" t="s">
        <v>95</v>
      </c>
      <c r="G11" s="41" t="s">
        <v>94</v>
      </c>
      <c r="H11" s="41" t="s">
        <v>96</v>
      </c>
      <c r="I11" s="41" t="s">
        <v>101</v>
      </c>
      <c r="J11" s="32" t="str" cm="1">
        <f t="array" ref="J11">_xlfn.LET(
  _xlpm.mapL, منابع!$H$11:$H$15,
  _xlpm.mapN, منابع!$I$11:$I$15,
  _xlpm.C, _xlfn.XLOOKUP(F11,_xlpm.mapL,_xlpm.mapN,""),
  _xlpm.G, _xlfn.XLOOKUP(G11,_xlpm.mapL,_xlpm.mapN,""),
  _xlpm.S, _xlfn.XLOOKUP(H11,_xlpm.mapL,_xlpm.mapN,""),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1" s="69" t="s">
        <v>143</v>
      </c>
    </row>
    <row r="12" spans="1:12">
      <c r="A12" s="40">
        <v>10</v>
      </c>
      <c r="B12" s="41" t="s">
        <v>133</v>
      </c>
      <c r="C12" s="42">
        <v>0.12847222222222221</v>
      </c>
      <c r="D12" s="43" t="s">
        <v>122</v>
      </c>
      <c r="E12" s="68" t="s">
        <v>144</v>
      </c>
      <c r="F12" s="43" t="s">
        <v>96</v>
      </c>
      <c r="G12" s="41" t="s">
        <v>95</v>
      </c>
      <c r="H12" s="41" t="s">
        <v>96</v>
      </c>
      <c r="I12" s="41" t="s">
        <v>88</v>
      </c>
      <c r="J12" s="32" t="str" cm="1">
        <f t="array" ref="J12">_xlfn.LET(
  _xlpm.mapL, منابع!$H$11:$H$15,
  _xlpm.mapN, منابع!$I$11:$I$15,
  _xlpm.C, _xlfn.XLOOKUP(F12,_xlpm.mapL,_xlpm.mapN,""),
  _xlpm.G, _xlfn.XLOOKUP(G12,_xlpm.mapL,_xlpm.mapN,""),
  _xlpm.S, _xlfn.XLOOKUP(H12,_xlpm.mapL,_xlpm.mapN,""),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2" s="69" t="s">
        <v>145</v>
      </c>
    </row>
    <row r="13" spans="1:12">
      <c r="A13" s="40">
        <v>11</v>
      </c>
      <c r="B13" s="41" t="s">
        <v>133</v>
      </c>
      <c r="C13" s="42">
        <v>0.13333333333333333</v>
      </c>
      <c r="D13" s="43" t="s">
        <v>122</v>
      </c>
      <c r="E13" s="68" t="s">
        <v>146</v>
      </c>
      <c r="F13" s="43" t="s">
        <v>96</v>
      </c>
      <c r="G13" s="41" t="s">
        <v>96</v>
      </c>
      <c r="H13" s="41" t="s">
        <v>96</v>
      </c>
      <c r="I13" s="41" t="s">
        <v>101</v>
      </c>
      <c r="J13" s="32" t="str" cm="1">
        <f t="array" ref="J13">_xlfn.LET(
  _xlpm.mapL, منابع!$H$11:$H$15,
  _xlpm.mapN, منابع!$I$11:$I$15,
  _xlpm.C, _xlfn.XLOOKUP(F13,_xlpm.mapL,_xlpm.mapN,""),
  _xlpm.G, _xlfn.XLOOKUP(G13,_xlpm.mapL,_xlpm.mapN,""),
  _xlpm.S, _xlfn.XLOOKUP(H13,_xlpm.mapL,_xlpm.mapN,""),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3" s="69" t="s">
        <v>147</v>
      </c>
    </row>
    <row r="14" spans="1:12">
      <c r="A14" s="40">
        <v>12</v>
      </c>
      <c r="B14" s="41" t="s">
        <v>133</v>
      </c>
      <c r="C14" s="42">
        <v>0.24583333333333332</v>
      </c>
      <c r="D14" s="43" t="s">
        <v>122</v>
      </c>
      <c r="E14" s="68" t="s">
        <v>148</v>
      </c>
      <c r="F14" s="43" t="s">
        <v>96</v>
      </c>
      <c r="G14" s="41" t="s">
        <v>96</v>
      </c>
      <c r="H14" s="41" t="s">
        <v>96</v>
      </c>
      <c r="I14" s="41" t="s">
        <v>86</v>
      </c>
      <c r="J14" s="32" t="str" cm="1">
        <f t="array" ref="J14">_xlfn.LET(
  _xlpm.mapL, منابع!$H$11:$H$15,
  _xlpm.mapN, منابع!$I$11:$I$15,
  _xlpm.C, _xlfn.XLOOKUP(F14,_xlpm.mapL,_xlpm.mapN,""),
  _xlpm.G, _xlfn.XLOOKUP(G14,_xlpm.mapL,_xlpm.mapN,""),
  _xlpm.S, _xlfn.XLOOKUP(H14,_xlpm.mapL,_xlpm.mapN,""),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4" s="69" t="s">
        <v>149</v>
      </c>
    </row>
    <row r="15" spans="1:12">
      <c r="A15" s="40">
        <v>13</v>
      </c>
      <c r="B15" s="41" t="s">
        <v>133</v>
      </c>
      <c r="C15" s="42">
        <v>0.24791666666666667</v>
      </c>
      <c r="D15" s="43" t="s">
        <v>122</v>
      </c>
      <c r="E15" s="68" t="s">
        <v>150</v>
      </c>
      <c r="F15" s="43" t="s">
        <v>95</v>
      </c>
      <c r="G15" s="41" t="s">
        <v>94</v>
      </c>
      <c r="H15" s="41" t="s">
        <v>95</v>
      </c>
      <c r="I15" s="41" t="s">
        <v>88</v>
      </c>
      <c r="J15" s="32" t="str" cm="1">
        <f t="array" ref="J15">_xlfn.LET(
  _xlpm.mapL, منابع!$H$11:$H$15,
  _xlpm.mapN, منابع!$I$11:$I$15,
  _xlpm.C, _xlfn.XLOOKUP(F15,_xlpm.mapL,_xlpm.mapN,""),
  _xlpm.G, _xlfn.XLOOKUP(G15,_xlpm.mapL,_xlpm.mapN,""),
  _xlpm.S, _xlfn.XLOOKUP(H15,_xlpm.mapL,_xlpm.mapN,""),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5" s="69" t="s">
        <v>151</v>
      </c>
    </row>
    <row r="16" spans="1:12">
      <c r="A16" s="40">
        <v>14</v>
      </c>
      <c r="B16" s="41" t="s">
        <v>133</v>
      </c>
      <c r="C16" s="42">
        <v>0.25486111111111109</v>
      </c>
      <c r="D16" s="47" t="s">
        <v>122</v>
      </c>
      <c r="E16" s="68" t="s">
        <v>152</v>
      </c>
      <c r="F16" s="43" t="s">
        <v>96</v>
      </c>
      <c r="G16" s="41" t="s">
        <v>94</v>
      </c>
      <c r="H16" s="41" t="s">
        <v>95</v>
      </c>
      <c r="I16" s="41" t="s">
        <v>88</v>
      </c>
      <c r="J16" s="32" t="str" cm="1">
        <f t="array" ref="J16">_xlfn.LET(
  _xlpm.mapL, منابع!$H$11:$H$15,
  _xlpm.mapN, منابع!$I$11:$I$15,
  _xlpm.C, _xlfn.XLOOKUP(F16,_xlpm.mapL,_xlpm.mapN,""),
  _xlpm.G, _xlfn.XLOOKUP(G16,_xlpm.mapL,_xlpm.mapN,""),
  _xlpm.S, _xlfn.XLOOKUP(H16,_xlpm.mapL,_xlpm.mapN,""),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6" s="69" t="s">
        <v>153</v>
      </c>
    </row>
    <row r="17" spans="1:11">
      <c r="A17" s="40">
        <v>15</v>
      </c>
      <c r="B17" s="41" t="s">
        <v>133</v>
      </c>
      <c r="C17" s="42">
        <v>0.25694444444444442</v>
      </c>
      <c r="D17" s="43" t="s">
        <v>122</v>
      </c>
      <c r="E17" s="68" t="s">
        <v>154</v>
      </c>
      <c r="F17" s="43" t="s">
        <v>96</v>
      </c>
      <c r="G17" s="41" t="s">
        <v>94</v>
      </c>
      <c r="H17" s="41" t="s">
        <v>96</v>
      </c>
      <c r="I17" s="41" t="s">
        <v>86</v>
      </c>
      <c r="J17" s="32" t="str" cm="1">
        <f t="array" ref="J17">_xlfn.LET(
  _xlpm.mapL, منابع!$H$11:$H$15,
  _xlpm.mapN, منابع!$I$11:$I$15,
  _xlpm.C, _xlfn.XLOOKUP(F17,_xlpm.mapL,_xlpm.mapN,""),
  _xlpm.G, _xlfn.XLOOKUP(G17,_xlpm.mapL,_xlpm.mapN,""),
  _xlpm.S, _xlfn.XLOOKUP(H17,_xlpm.mapL,_xlpm.mapN,""),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7" s="69" t="s">
        <v>155</v>
      </c>
    </row>
    <row r="18" spans="1:11">
      <c r="A18" s="40">
        <v>16</v>
      </c>
      <c r="B18" s="41" t="s">
        <v>133</v>
      </c>
      <c r="C18" s="42">
        <v>0.25972222222222224</v>
      </c>
      <c r="D18" s="43" t="s">
        <v>122</v>
      </c>
      <c r="E18" s="68" t="s">
        <v>156</v>
      </c>
      <c r="F18" s="43" t="s">
        <v>96</v>
      </c>
      <c r="G18" s="41" t="s">
        <v>94</v>
      </c>
      <c r="H18" s="41" t="s">
        <v>96</v>
      </c>
      <c r="I18" s="41" t="s">
        <v>86</v>
      </c>
      <c r="J18" s="32" t="str" cm="1">
        <f t="array" ref="J18">_xlfn.LET(
  _xlpm.mapL, منابع!$H$11:$H$15,
  _xlpm.mapN, منابع!$I$11:$I$15,
  _xlpm.C, _xlfn.XLOOKUP(F18,_xlpm.mapL,_xlpm.mapN,""),
  _xlpm.G, _xlfn.XLOOKUP(G18,_xlpm.mapL,_xlpm.mapN,""),
  _xlpm.S, _xlfn.XLOOKUP(H18,_xlpm.mapL,_xlpm.mapN,""),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8" s="69" t="s">
        <v>157</v>
      </c>
    </row>
    <row r="19" spans="1:11">
      <c r="A19" s="40">
        <v>17</v>
      </c>
      <c r="B19" s="41" t="s">
        <v>133</v>
      </c>
      <c r="C19" s="42">
        <v>0.26319444444444445</v>
      </c>
      <c r="D19" s="43" t="s">
        <v>122</v>
      </c>
      <c r="E19" s="68" t="s">
        <v>158</v>
      </c>
      <c r="F19" s="43" t="s">
        <v>95</v>
      </c>
      <c r="G19" s="41" t="s">
        <v>94</v>
      </c>
      <c r="H19" s="41" t="s">
        <v>96</v>
      </c>
      <c r="I19" s="41" t="s">
        <v>101</v>
      </c>
      <c r="J19" s="32" t="str" cm="1">
        <f t="array" ref="J19">_xlfn.LET(
  _xlpm.mapL, منابع!$H$11:$H$15,
  _xlpm.mapN, منابع!$I$11:$I$15,
  _xlpm.C, _xlfn.XLOOKUP(F19,_xlpm.mapL,_xlpm.mapN,""),
  _xlpm.G, _xlfn.XLOOKUP(G19,_xlpm.mapL,_xlpm.mapN,""),
  _xlpm.S, _xlfn.XLOOKUP(H19,_xlpm.mapL,_xlpm.mapN,""),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9" s="69" t="s">
        <v>159</v>
      </c>
    </row>
    <row r="20" spans="1:11">
      <c r="A20" s="40">
        <v>18</v>
      </c>
      <c r="B20" s="41" t="s">
        <v>133</v>
      </c>
      <c r="C20" s="42">
        <v>0.26597222222222222</v>
      </c>
      <c r="D20" s="43" t="s">
        <v>122</v>
      </c>
      <c r="E20" s="68" t="s">
        <v>160</v>
      </c>
      <c r="F20" s="43" t="s">
        <v>96</v>
      </c>
      <c r="G20" s="41" t="s">
        <v>95</v>
      </c>
      <c r="H20" s="41" t="s">
        <v>96</v>
      </c>
      <c r="I20" s="41" t="s">
        <v>101</v>
      </c>
      <c r="J20" s="32" t="str" cm="1">
        <f t="array" ref="J20">_xlfn.LET(
  _xlpm.mapL, منابع!$H$11:$H$15,
  _xlpm.mapN, منابع!$I$11:$I$15,
  _xlpm.C, _xlfn.XLOOKUP(F20,_xlpm.mapL,_xlpm.mapN,""),
  _xlpm.G, _xlfn.XLOOKUP(G20,_xlpm.mapL,_xlpm.mapN,""),
  _xlpm.S, _xlfn.XLOOKUP(H20,_xlpm.mapL,_xlpm.mapN,""),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20" s="69" t="s">
        <v>161</v>
      </c>
    </row>
    <row r="21" spans="1:11">
      <c r="A21" s="40">
        <v>19</v>
      </c>
      <c r="B21" s="41" t="s">
        <v>133</v>
      </c>
      <c r="C21" s="42">
        <v>0.31111111111111112</v>
      </c>
      <c r="D21" s="43" t="s">
        <v>122</v>
      </c>
      <c r="E21" s="68" t="s">
        <v>162</v>
      </c>
      <c r="F21" s="43" t="s">
        <v>95</v>
      </c>
      <c r="G21" s="41" t="s">
        <v>95</v>
      </c>
      <c r="H21" s="41" t="s">
        <v>96</v>
      </c>
      <c r="I21" s="41" t="s">
        <v>101</v>
      </c>
      <c r="J21" s="32" t="str" cm="1">
        <f t="array" ref="J21">_xlfn.LET(
  _xlpm.mapL, منابع!$H$11:$H$15,
  _xlpm.mapN, منابع!$I$11:$I$15,
  _xlpm.C, _xlfn.XLOOKUP(F21,_xlpm.mapL,_xlpm.mapN,""),
  _xlpm.G, _xlfn.XLOOKUP(G21,_xlpm.mapL,_xlpm.mapN,""),
  _xlpm.S, _xlfn.XLOOKUP(H21,_xlpm.mapL,_xlpm.mapN,""),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21" s="69" t="s">
        <v>163</v>
      </c>
    </row>
    <row r="22" spans="1:11">
      <c r="A22" s="40">
        <v>20</v>
      </c>
      <c r="B22" s="41" t="s">
        <v>133</v>
      </c>
      <c r="C22" s="42">
        <v>0.31597222222222221</v>
      </c>
      <c r="D22" s="43" t="s">
        <v>122</v>
      </c>
      <c r="E22" s="68" t="s">
        <v>164</v>
      </c>
      <c r="F22" s="43" t="s">
        <v>96</v>
      </c>
      <c r="G22" s="41" t="s">
        <v>96</v>
      </c>
      <c r="H22" s="41" t="s">
        <v>95</v>
      </c>
      <c r="I22" s="41" t="s">
        <v>101</v>
      </c>
      <c r="J22" s="32" t="str" cm="1">
        <f t="array" ref="J22">_xlfn.LET(
  _xlpm.mapL, منابع!$H$11:$H$15,
  _xlpm.mapN, منابع!$I$11:$I$15,
  _xlpm.C, _xlfn.XLOOKUP(F22,_xlpm.mapL,_xlpm.mapN,""),
  _xlpm.G, _xlfn.XLOOKUP(G22,_xlpm.mapL,_xlpm.mapN,""),
  _xlpm.S, _xlfn.XLOOKUP(H22,_xlpm.mapL,_xlpm.mapN,""),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22" s="69" t="s">
        <v>165</v>
      </c>
    </row>
    <row r="23" spans="1:11">
      <c r="A23" s="40">
        <v>21</v>
      </c>
      <c r="B23" s="41" t="s">
        <v>133</v>
      </c>
      <c r="C23" s="42">
        <v>0.33263888888888887</v>
      </c>
      <c r="D23" s="43" t="s">
        <v>122</v>
      </c>
      <c r="E23" s="68" t="s">
        <v>171</v>
      </c>
      <c r="F23" s="43" t="s">
        <v>95</v>
      </c>
      <c r="G23" s="41" t="s">
        <v>95</v>
      </c>
      <c r="H23" s="41" t="s">
        <v>96</v>
      </c>
      <c r="I23" s="41" t="s">
        <v>88</v>
      </c>
      <c r="J23" s="32" t="str" cm="1">
        <f t="array" ref="J23">_xlfn.LET(
  _xlpm.mapL, منابع!$H$11:$H$15,
  _xlpm.mapN, منابع!$I$11:$I$15,
  _xlpm.C, _xlfn.XLOOKUP(F23,_xlpm.mapL,_xlpm.mapN,""),
  _xlpm.G, _xlfn.XLOOKUP(G23,_xlpm.mapL,_xlpm.mapN,""),
  _xlpm.S, _xlfn.XLOOKUP(H23,_xlpm.mapL,_xlpm.mapN,""),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23" s="69" t="s">
        <v>170</v>
      </c>
    </row>
    <row r="24" spans="1:11">
      <c r="A24" s="40">
        <v>22</v>
      </c>
      <c r="B24" s="41" t="s">
        <v>133</v>
      </c>
      <c r="C24" s="42">
        <v>0.34236111111111112</v>
      </c>
      <c r="D24" s="43" t="s">
        <v>122</v>
      </c>
      <c r="E24" s="68" t="s">
        <v>169</v>
      </c>
      <c r="F24" s="43" t="s">
        <v>95</v>
      </c>
      <c r="G24" s="41" t="s">
        <v>94</v>
      </c>
      <c r="H24" s="41" t="s">
        <v>95</v>
      </c>
      <c r="I24" s="41" t="s">
        <v>88</v>
      </c>
      <c r="J24" s="32" t="str" cm="1">
        <f t="array" ref="J24">_xlfn.LET(
  _xlpm.mapL, منابع!$H$11:$H$15,
  _xlpm.mapN, منابع!$I$11:$I$15,
  _xlpm.C, _xlfn.XLOOKUP(F24,_xlpm.mapL,_xlpm.mapN,""),
  _xlpm.G, _xlfn.XLOOKUP(G24,_xlpm.mapL,_xlpm.mapN,""),
  _xlpm.S, _xlfn.XLOOKUP(H24,_xlpm.mapL,_xlpm.mapN,""),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24" s="69" t="s">
        <v>168</v>
      </c>
    </row>
    <row r="25" spans="1:11">
      <c r="A25" s="40">
        <v>23</v>
      </c>
      <c r="B25" s="41" t="s">
        <v>133</v>
      </c>
      <c r="C25" s="42">
        <v>0.3659722222222222</v>
      </c>
      <c r="D25" s="43" t="s">
        <v>122</v>
      </c>
      <c r="E25" s="68" t="s">
        <v>167</v>
      </c>
      <c r="F25" s="43" t="s">
        <v>96</v>
      </c>
      <c r="G25" s="41" t="s">
        <v>95</v>
      </c>
      <c r="H25" s="41" t="s">
        <v>96</v>
      </c>
      <c r="I25" s="41" t="s">
        <v>87</v>
      </c>
      <c r="J25" s="32" t="str" cm="1">
        <f t="array" ref="J25">_xlfn.LET(
  _xlpm.mapL, منابع!$H$11:$H$15,
  _xlpm.mapN, منابع!$I$11:$I$15,
  _xlpm.C, _xlfn.XLOOKUP(F25,_xlpm.mapL,_xlpm.mapN,""),
  _xlpm.G, _xlfn.XLOOKUP(G25,_xlpm.mapL,_xlpm.mapN,""),
  _xlpm.S, _xlfn.XLOOKUP(H25,_xlpm.mapL,_xlpm.mapN,""),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25" s="69" t="s">
        <v>166</v>
      </c>
    </row>
    <row r="26" spans="1:11">
      <c r="A26" s="40">
        <v>24</v>
      </c>
      <c r="B26" s="41" t="s">
        <v>133</v>
      </c>
      <c r="C26" s="42">
        <v>0.36875000000000002</v>
      </c>
      <c r="D26" s="43" t="s">
        <v>122</v>
      </c>
      <c r="E26" s="68" t="s">
        <v>195</v>
      </c>
      <c r="F26" s="43" t="s">
        <v>96</v>
      </c>
      <c r="G26" s="41" t="s">
        <v>96</v>
      </c>
      <c r="H26" s="41" t="s">
        <v>94</v>
      </c>
      <c r="I26" s="41" t="s">
        <v>101</v>
      </c>
      <c r="J26" s="32" t="str" cm="1">
        <f t="array" ref="J26">_xlfn.LET(
  _xlpm.mapL, منابع!$H$11:$H$15,
  _xlpm.mapN, منابع!$I$11:$I$15,
  _xlpm.C, _xlfn.XLOOKUP(F26,_xlpm.mapL,_xlpm.mapN,""),
  _xlpm.G, _xlfn.XLOOKUP(G26,_xlpm.mapL,_xlpm.mapN,""),
  _xlpm.S, _xlfn.XLOOKUP(H26,_xlpm.mapL,_xlpm.mapN,""),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26" s="69" t="s">
        <v>194</v>
      </c>
    </row>
    <row r="27" spans="1:11">
      <c r="A27" s="40">
        <v>25</v>
      </c>
      <c r="B27" s="41" t="s">
        <v>133</v>
      </c>
      <c r="C27" s="42">
        <v>0.37083333333333335</v>
      </c>
      <c r="D27" s="43" t="s">
        <v>122</v>
      </c>
      <c r="E27" s="70" t="s">
        <v>193</v>
      </c>
      <c r="F27" s="43" t="s">
        <v>95</v>
      </c>
      <c r="G27" s="41" t="s">
        <v>96</v>
      </c>
      <c r="H27" s="41" t="s">
        <v>95</v>
      </c>
      <c r="I27" s="41" t="s">
        <v>101</v>
      </c>
      <c r="J27" s="32" t="str" cm="1">
        <f t="array" ref="J27">_xlfn.LET(
  _xlpm.mapL, منابع!$H$11:$H$15,
  _xlpm.mapN, منابع!$I$11:$I$15,
  _xlpm.C, _xlfn.XLOOKUP(F27,_xlpm.mapL,_xlpm.mapN,""),
  _xlpm.G, _xlfn.XLOOKUP(G27,_xlpm.mapL,_xlpm.mapN,""),
  _xlpm.S, _xlfn.XLOOKUP(H27,_xlpm.mapL,_xlpm.mapN,""),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27" s="69" t="s">
        <v>192</v>
      </c>
    </row>
    <row r="28" spans="1:11">
      <c r="A28" s="40">
        <v>26</v>
      </c>
      <c r="B28" s="41" t="s">
        <v>133</v>
      </c>
      <c r="C28" s="42">
        <v>0.375</v>
      </c>
      <c r="D28" s="43" t="s">
        <v>122</v>
      </c>
      <c r="E28" s="68" t="s">
        <v>191</v>
      </c>
      <c r="F28" s="43" t="s">
        <v>96</v>
      </c>
      <c r="G28" s="41" t="s">
        <v>95</v>
      </c>
      <c r="H28" s="41" t="s">
        <v>96</v>
      </c>
      <c r="I28" s="41" t="s">
        <v>101</v>
      </c>
      <c r="J28" s="32" t="str" cm="1">
        <f t="array" ref="J28">_xlfn.LET(
  _xlpm.mapL, منابع!$H$11:$H$15,
  _xlpm.mapN, منابع!$I$11:$I$15,
  _xlpm.C, _xlfn.XLOOKUP(F28,_xlpm.mapL,_xlpm.mapN,""),
  _xlpm.G, _xlfn.XLOOKUP(G28,_xlpm.mapL,_xlpm.mapN,""),
  _xlpm.S, _xlfn.XLOOKUP(H28,_xlpm.mapL,_xlpm.mapN,""),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28" s="69" t="s">
        <v>190</v>
      </c>
    </row>
    <row r="29" spans="1:11">
      <c r="A29" s="40">
        <v>27</v>
      </c>
      <c r="B29" s="41" t="s">
        <v>133</v>
      </c>
      <c r="C29" s="42">
        <v>0.39097222222222222</v>
      </c>
      <c r="D29" s="43" t="s">
        <v>122</v>
      </c>
      <c r="E29" s="68" t="s">
        <v>189</v>
      </c>
      <c r="F29" s="43" t="s">
        <v>96</v>
      </c>
      <c r="G29" s="41" t="s">
        <v>95</v>
      </c>
      <c r="H29" s="41" t="s">
        <v>94</v>
      </c>
      <c r="I29" s="41" t="s">
        <v>88</v>
      </c>
      <c r="J29" s="32" t="str" cm="1">
        <f t="array" ref="J29">_xlfn.LET(
  _xlpm.mapL, منابع!$H$11:$H$15,
  _xlpm.mapN, منابع!$I$11:$I$15,
  _xlpm.C, _xlfn.XLOOKUP(F29,_xlpm.mapL,_xlpm.mapN,""),
  _xlpm.G, _xlfn.XLOOKUP(G29,_xlpm.mapL,_xlpm.mapN,""),
  _xlpm.S, _xlfn.XLOOKUP(H29,_xlpm.mapL,_xlpm.mapN,""),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29" s="69" t="s">
        <v>188</v>
      </c>
    </row>
    <row r="30" spans="1:11">
      <c r="A30" s="40">
        <v>28</v>
      </c>
      <c r="B30" s="41" t="s">
        <v>133</v>
      </c>
      <c r="C30" s="42">
        <v>0.39861111111111114</v>
      </c>
      <c r="D30" s="43" t="s">
        <v>122</v>
      </c>
      <c r="E30" s="68" t="s">
        <v>187</v>
      </c>
      <c r="F30" s="43" t="s">
        <v>95</v>
      </c>
      <c r="G30" s="41" t="s">
        <v>94</v>
      </c>
      <c r="H30" s="41" t="s">
        <v>96</v>
      </c>
      <c r="I30" s="41" t="s">
        <v>88</v>
      </c>
      <c r="J30" s="32" t="str" cm="1">
        <f t="array" ref="J30">_xlfn.LET(
  _xlpm.mapL, منابع!$H$11:$H$15,
  _xlpm.mapN, منابع!$I$11:$I$15,
  _xlpm.C, _xlfn.XLOOKUP(F30,_xlpm.mapL,_xlpm.mapN,""),
  _xlpm.G, _xlfn.XLOOKUP(G30,_xlpm.mapL,_xlpm.mapN,""),
  _xlpm.S, _xlfn.XLOOKUP(H30,_xlpm.mapL,_xlpm.mapN,""),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30" s="69" t="s">
        <v>186</v>
      </c>
    </row>
    <row r="31" spans="1:11">
      <c r="A31" s="40">
        <v>29</v>
      </c>
      <c r="B31" s="41" t="s">
        <v>133</v>
      </c>
      <c r="C31" s="42">
        <v>0.42708333333333331</v>
      </c>
      <c r="D31" s="43" t="s">
        <v>122</v>
      </c>
      <c r="E31" s="68" t="s">
        <v>185</v>
      </c>
      <c r="F31" s="43" t="s">
        <v>96</v>
      </c>
      <c r="G31" s="41" t="s">
        <v>95</v>
      </c>
      <c r="H31" s="41" t="s">
        <v>96</v>
      </c>
      <c r="I31" s="41" t="s">
        <v>101</v>
      </c>
      <c r="J31" s="32" t="str" cm="1">
        <f t="array" ref="J31">_xlfn.LET(
  _xlpm.mapL, منابع!$H$11:$H$15,
  _xlpm.mapN, منابع!$I$11:$I$15,
  _xlpm.C, _xlfn.XLOOKUP(F31,_xlpm.mapL,_xlpm.mapN,""),
  _xlpm.G, _xlfn.XLOOKUP(G31,_xlpm.mapL,_xlpm.mapN,""),
  _xlpm.S, _xlfn.XLOOKUP(H31,_xlpm.mapL,_xlpm.mapN,""),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31" s="69" t="s">
        <v>184</v>
      </c>
    </row>
    <row r="32" spans="1:11">
      <c r="A32" s="40">
        <v>30</v>
      </c>
      <c r="B32" s="41" t="s">
        <v>133</v>
      </c>
      <c r="C32" s="42">
        <v>0.4513888888888889</v>
      </c>
      <c r="D32" s="43" t="s">
        <v>122</v>
      </c>
      <c r="E32" s="68" t="s">
        <v>183</v>
      </c>
      <c r="F32" s="43" t="s">
        <v>96</v>
      </c>
      <c r="G32" s="41" t="s">
        <v>94</v>
      </c>
      <c r="H32" s="41" t="s">
        <v>96</v>
      </c>
      <c r="I32" s="41" t="s">
        <v>101</v>
      </c>
      <c r="J32" s="32" t="str" cm="1">
        <f t="array" ref="J32">_xlfn.LET(
  _xlpm.mapL, منابع!$H$11:$H$15,
  _xlpm.mapN, منابع!$I$11:$I$15,
  _xlpm.C, _xlfn.XLOOKUP(F32,_xlpm.mapL,_xlpm.mapN,""),
  _xlpm.G, _xlfn.XLOOKUP(G32,_xlpm.mapL,_xlpm.mapN,""),
  _xlpm.S, _xlfn.XLOOKUP(H32,_xlpm.mapL,_xlpm.mapN,""),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32" s="69" t="s">
        <v>182</v>
      </c>
    </row>
    <row r="33" spans="1:11">
      <c r="A33" s="40">
        <v>31</v>
      </c>
      <c r="B33" s="41" t="s">
        <v>133</v>
      </c>
      <c r="C33" s="42">
        <v>0.45763888888888887</v>
      </c>
      <c r="D33" s="47" t="s">
        <v>122</v>
      </c>
      <c r="E33" s="68" t="s">
        <v>181</v>
      </c>
      <c r="F33" s="43" t="s">
        <v>96</v>
      </c>
      <c r="G33" s="41" t="s">
        <v>94</v>
      </c>
      <c r="H33" s="41" t="s">
        <v>96</v>
      </c>
      <c r="I33" s="41" t="s">
        <v>101</v>
      </c>
      <c r="J33" s="32" t="str" cm="1">
        <f t="array" ref="J33">_xlfn.LET(
  _xlpm.mapL, منابع!$H$11:$H$15,
  _xlpm.mapN, منابع!$I$11:$I$15,
  _xlpm.C, _xlfn.XLOOKUP(F33,_xlpm.mapL,_xlpm.mapN,""),
  _xlpm.G, _xlfn.XLOOKUP(G33,_xlpm.mapL,_xlpm.mapN,""),
  _xlpm.S, _xlfn.XLOOKUP(H33,_xlpm.mapL,_xlpm.mapN,""),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33" s="69" t="s">
        <v>180</v>
      </c>
    </row>
    <row r="34" spans="1:11">
      <c r="A34" s="40">
        <v>32</v>
      </c>
      <c r="B34" s="41" t="s">
        <v>133</v>
      </c>
      <c r="C34" s="42">
        <v>0.4777777777777778</v>
      </c>
      <c r="D34" s="43" t="s">
        <v>122</v>
      </c>
      <c r="E34" s="68" t="s">
        <v>179</v>
      </c>
      <c r="F34" s="43" t="s">
        <v>96</v>
      </c>
      <c r="G34" s="41" t="s">
        <v>94</v>
      </c>
      <c r="H34" s="41" t="s">
        <v>95</v>
      </c>
      <c r="I34" s="41" t="s">
        <v>88</v>
      </c>
      <c r="J34" s="32" t="str" cm="1">
        <f t="array" ref="J34">_xlfn.LET(
  _xlpm.mapL, منابع!$H$11:$H$15,
  _xlpm.mapN, منابع!$I$11:$I$15,
  _xlpm.C, _xlfn.XLOOKUP(F34,_xlpm.mapL,_xlpm.mapN,""),
  _xlpm.G, _xlfn.XLOOKUP(G34,_xlpm.mapL,_xlpm.mapN,""),
  _xlpm.S, _xlfn.XLOOKUP(H34,_xlpm.mapL,_xlpm.mapN,""),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34" s="69" t="s">
        <v>178</v>
      </c>
    </row>
    <row r="35" spans="1:11">
      <c r="A35" s="40">
        <v>33</v>
      </c>
      <c r="B35" s="41" t="s">
        <v>133</v>
      </c>
      <c r="C35" s="42">
        <v>0.49444444444444446</v>
      </c>
      <c r="D35" s="43" t="s">
        <v>122</v>
      </c>
      <c r="E35" s="68" t="s">
        <v>177</v>
      </c>
      <c r="F35" s="43" t="s">
        <v>95</v>
      </c>
      <c r="G35" s="41" t="s">
        <v>94</v>
      </c>
      <c r="H35" s="41" t="s">
        <v>96</v>
      </c>
      <c r="I35" s="41" t="s">
        <v>101</v>
      </c>
      <c r="J35" s="32" t="str" cm="1">
        <f t="array" ref="J35">_xlfn.LET(
  _xlpm.mapL, منابع!$H$11:$H$15,
  _xlpm.mapN, منابع!$I$11:$I$15,
  _xlpm.C, _xlfn.XLOOKUP(F35,_xlpm.mapL,_xlpm.mapN,""),
  _xlpm.G, _xlfn.XLOOKUP(G35,_xlpm.mapL,_xlpm.mapN,""),
  _xlpm.S, _xlfn.XLOOKUP(H35,_xlpm.mapL,_xlpm.mapN,""),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35" s="69" t="s">
        <v>176</v>
      </c>
    </row>
    <row r="36" spans="1:11">
      <c r="A36" s="40">
        <v>34</v>
      </c>
      <c r="B36" s="41" t="s">
        <v>133</v>
      </c>
      <c r="C36" s="42">
        <v>0.50902777777777775</v>
      </c>
      <c r="D36" s="43" t="s">
        <v>122</v>
      </c>
      <c r="E36" s="71" t="s">
        <v>174</v>
      </c>
      <c r="F36" s="43" t="s">
        <v>96</v>
      </c>
      <c r="G36" s="41" t="s">
        <v>95</v>
      </c>
      <c r="H36" s="41" t="s">
        <v>95</v>
      </c>
      <c r="I36" s="41" t="s">
        <v>88</v>
      </c>
      <c r="J36" s="32" t="str" cm="1">
        <f t="array" ref="J36">_xlfn.LET(
  _xlpm.mapL, منابع!$H$11:$H$15,
  _xlpm.mapN, منابع!$I$11:$I$15,
  _xlpm.C, _xlfn.XLOOKUP(F36,_xlpm.mapL,_xlpm.mapN,""),
  _xlpm.G, _xlfn.XLOOKUP(G36,_xlpm.mapL,_xlpm.mapN,""),
  _xlpm.S, _xlfn.XLOOKUP(H36,_xlpm.mapL,_xlpm.mapN,""),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36" s="69" t="s">
        <v>175</v>
      </c>
    </row>
    <row r="37" spans="1:11">
      <c r="A37" s="40">
        <v>35</v>
      </c>
      <c r="B37" s="41" t="s">
        <v>133</v>
      </c>
      <c r="C37" s="42">
        <v>0.50902777777777775</v>
      </c>
      <c r="D37" s="43" t="s">
        <v>122</v>
      </c>
      <c r="E37" s="68" t="s">
        <v>173</v>
      </c>
      <c r="F37" s="43" t="s">
        <v>96</v>
      </c>
      <c r="G37" s="41" t="s">
        <v>94</v>
      </c>
      <c r="H37" s="41" t="s">
        <v>96</v>
      </c>
      <c r="I37" s="41" t="s">
        <v>88</v>
      </c>
      <c r="J37" s="32" t="str" cm="1">
        <f t="array" ref="J37">_xlfn.LET(
  _xlpm.mapL, منابع!$H$11:$H$15,
  _xlpm.mapN, منابع!$I$11:$I$15,
  _xlpm.C, _xlfn.XLOOKUP(F37,_xlpm.mapL,_xlpm.mapN,""),
  _xlpm.G, _xlfn.XLOOKUP(G37,_xlpm.mapL,_xlpm.mapN,""),
  _xlpm.S, _xlfn.XLOOKUP(H37,_xlpm.mapL,_xlpm.mapN,""),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37" s="69" t="s">
        <v>172</v>
      </c>
    </row>
    <row r="38" spans="1:11">
      <c r="A38" s="40">
        <v>36</v>
      </c>
      <c r="B38" s="41" t="s">
        <v>133</v>
      </c>
      <c r="C38" s="42">
        <v>0.54166666666666663</v>
      </c>
      <c r="D38" s="43" t="s">
        <v>122</v>
      </c>
      <c r="E38" s="68" t="s">
        <v>174</v>
      </c>
      <c r="F38" s="43" t="s">
        <v>96</v>
      </c>
      <c r="G38" s="41" t="s">
        <v>95</v>
      </c>
      <c r="H38" s="41" t="s">
        <v>95</v>
      </c>
      <c r="I38" s="41" t="s">
        <v>101</v>
      </c>
      <c r="J38" s="32" t="str" cm="1">
        <f t="array" ref="J38">_xlfn.LET(
  _xlpm.mapL, منابع!$H$11:$H$15,
  _xlpm.mapN, منابع!$I$11:$I$15,
  _xlpm.C, _xlfn.XLOOKUP(F38,_xlpm.mapL,_xlpm.mapN,""),
  _xlpm.G, _xlfn.XLOOKUP(G38,_xlpm.mapL,_xlpm.mapN,""),
  _xlpm.S, _xlfn.XLOOKUP(H38,_xlpm.mapL,_xlpm.mapN,""),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38" s="69" t="s">
        <v>175</v>
      </c>
    </row>
    <row r="39" spans="1:11">
      <c r="A39" s="40">
        <v>37</v>
      </c>
      <c r="B39" s="41" t="s">
        <v>133</v>
      </c>
      <c r="C39" s="42">
        <v>0.55555555555555558</v>
      </c>
      <c r="D39" s="43" t="s">
        <v>122</v>
      </c>
      <c r="E39" s="68" t="s">
        <v>196</v>
      </c>
      <c r="F39" s="43" t="s">
        <v>96</v>
      </c>
      <c r="G39" s="41" t="s">
        <v>96</v>
      </c>
      <c r="H39" s="41" t="s">
        <v>96</v>
      </c>
      <c r="I39" s="41" t="s">
        <v>101</v>
      </c>
      <c r="J39" s="32" t="str" cm="1">
        <f t="array" ref="J39">_xlfn.LET(
  _xlpm.mapL, منابع!$H$11:$H$15,
  _xlpm.mapN, منابع!$I$11:$I$15,
  _xlpm.C, _xlfn.XLOOKUP(F39,_xlpm.mapL,_xlpm.mapN,""),
  _xlpm.G, _xlfn.XLOOKUP(G39,_xlpm.mapL,_xlpm.mapN,""),
  _xlpm.S, _xlfn.XLOOKUP(H39,_xlpm.mapL,_xlpm.mapN,""),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39" s="69" t="s">
        <v>197</v>
      </c>
    </row>
    <row r="40" spans="1:11">
      <c r="A40" s="40">
        <v>38</v>
      </c>
      <c r="B40" s="41" t="s">
        <v>133</v>
      </c>
      <c r="C40" s="42">
        <v>0.58958333333333335</v>
      </c>
      <c r="D40" s="43" t="s">
        <v>122</v>
      </c>
      <c r="E40" s="68" t="s">
        <v>198</v>
      </c>
      <c r="F40" s="43" t="s">
        <v>96</v>
      </c>
      <c r="G40" s="41" t="s">
        <v>95</v>
      </c>
      <c r="H40" s="41" t="s">
        <v>96</v>
      </c>
      <c r="I40" s="41" t="s">
        <v>88</v>
      </c>
      <c r="J40" s="32" t="str" cm="1">
        <f t="array" ref="J40">_xlfn.LET(
  _xlpm.mapL, منابع!$H$11:$H$15,
  _xlpm.mapN, منابع!$I$11:$I$15,
  _xlpm.C, _xlfn.XLOOKUP(F40,_xlpm.mapL,_xlpm.mapN,""),
  _xlpm.G, _xlfn.XLOOKUP(G40,_xlpm.mapL,_xlpm.mapN,""),
  _xlpm.S, _xlfn.XLOOKUP(H40,_xlpm.mapL,_xlpm.mapN,""),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40" s="69" t="s">
        <v>199</v>
      </c>
    </row>
    <row r="41" spans="1:11">
      <c r="A41" s="40">
        <v>39</v>
      </c>
      <c r="B41" s="41" t="s">
        <v>133</v>
      </c>
      <c r="C41" s="42">
        <v>0.65069444444444446</v>
      </c>
      <c r="D41" s="43" t="s">
        <v>122</v>
      </c>
      <c r="E41" s="68" t="s">
        <v>200</v>
      </c>
      <c r="F41" s="43" t="s">
        <v>95</v>
      </c>
      <c r="G41" s="41" t="s">
        <v>96</v>
      </c>
      <c r="H41" s="41" t="s">
        <v>95</v>
      </c>
      <c r="I41" s="41" t="s">
        <v>86</v>
      </c>
      <c r="J41" s="32" t="str" cm="1">
        <f t="array" ref="J41">_xlfn.LET(
  _xlpm.mapL, منابع!$H$11:$H$15,
  _xlpm.mapN, منابع!$I$11:$I$15,
  _xlpm.C, _xlfn.XLOOKUP(F41,_xlpm.mapL,_xlpm.mapN,""),
  _xlpm.G, _xlfn.XLOOKUP(G41,_xlpm.mapL,_xlpm.mapN,""),
  _xlpm.S, _xlfn.XLOOKUP(H41,_xlpm.mapL,_xlpm.mapN,""),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41" s="69" t="s">
        <v>201</v>
      </c>
    </row>
    <row r="42" spans="1:11">
      <c r="A42" s="40">
        <v>40</v>
      </c>
      <c r="B42" s="41" t="s">
        <v>133</v>
      </c>
      <c r="C42" s="42">
        <v>0.65625</v>
      </c>
      <c r="D42" s="43" t="s">
        <v>122</v>
      </c>
      <c r="E42" s="68" t="s">
        <v>202</v>
      </c>
      <c r="F42" s="43" t="s">
        <v>95</v>
      </c>
      <c r="G42" s="41" t="s">
        <v>94</v>
      </c>
      <c r="H42" s="41" t="s">
        <v>95</v>
      </c>
      <c r="I42" s="41" t="s">
        <v>88</v>
      </c>
      <c r="J42" s="32" t="str" cm="1">
        <f t="array" ref="J42">_xlfn.LET(
  _xlpm.mapL, منابع!$H$11:$H$15,
  _xlpm.mapN, منابع!$I$11:$I$15,
  _xlpm.C, _xlfn.XLOOKUP(F42,_xlpm.mapL,_xlpm.mapN,""),
  _xlpm.G, _xlfn.XLOOKUP(G42,_xlpm.mapL,_xlpm.mapN,""),
  _xlpm.S, _xlfn.XLOOKUP(H42,_xlpm.mapL,_xlpm.mapN,""),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42" s="69" t="s">
        <v>203</v>
      </c>
    </row>
    <row r="43" spans="1:11">
      <c r="A43" s="40">
        <v>41</v>
      </c>
      <c r="B43" s="41" t="s">
        <v>133</v>
      </c>
      <c r="C43" s="42">
        <v>0.66666666666666663</v>
      </c>
      <c r="D43" s="43" t="s">
        <v>122</v>
      </c>
      <c r="E43" s="70" t="s">
        <v>204</v>
      </c>
      <c r="F43" s="43" t="s">
        <v>96</v>
      </c>
      <c r="G43" s="41" t="s">
        <v>94</v>
      </c>
      <c r="H43" s="41" t="s">
        <v>95</v>
      </c>
      <c r="I43" s="41" t="s">
        <v>88</v>
      </c>
      <c r="J43" s="32" t="str" cm="1">
        <f t="array" ref="J43">_xlfn.LET(
  _xlpm.mapL, منابع!$H$11:$H$15,
  _xlpm.mapN, منابع!$I$11:$I$15,
  _xlpm.C, _xlfn.XLOOKUP(F43,_xlpm.mapL,_xlpm.mapN,""),
  _xlpm.G, _xlfn.XLOOKUP(G43,_xlpm.mapL,_xlpm.mapN,""),
  _xlpm.S, _xlfn.XLOOKUP(H43,_xlpm.mapL,_xlpm.mapN,""),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43" s="69" t="s">
        <v>205</v>
      </c>
    </row>
    <row r="44" spans="1:11">
      <c r="A44" s="40">
        <v>42</v>
      </c>
      <c r="B44" s="41" t="s">
        <v>133</v>
      </c>
      <c r="C44" s="42">
        <v>0.67361111111111116</v>
      </c>
      <c r="D44" s="43" t="s">
        <v>122</v>
      </c>
      <c r="E44" s="70" t="s">
        <v>206</v>
      </c>
      <c r="F44" s="43" t="s">
        <v>96</v>
      </c>
      <c r="G44" s="41" t="s">
        <v>94</v>
      </c>
      <c r="H44" s="41" t="s">
        <v>95</v>
      </c>
      <c r="I44" s="41" t="s">
        <v>101</v>
      </c>
      <c r="J44" s="32" t="str" cm="1">
        <f t="array" ref="J44">_xlfn.LET(
  _xlpm.mapL, منابع!$H$11:$H$15,
  _xlpm.mapN, منابع!$I$11:$I$15,
  _xlpm.C, _xlfn.XLOOKUP(F44,_xlpm.mapL,_xlpm.mapN,""),
  _xlpm.G, _xlfn.XLOOKUP(G44,_xlpm.mapL,_xlpm.mapN,""),
  _xlpm.S, _xlfn.XLOOKUP(H44,_xlpm.mapL,_xlpm.mapN,""),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44" s="69" t="s">
        <v>207</v>
      </c>
    </row>
    <row r="45" spans="1:11">
      <c r="A45" s="40">
        <v>43</v>
      </c>
      <c r="B45" s="41" t="s">
        <v>133</v>
      </c>
      <c r="C45" s="42">
        <v>0.68472222222222223</v>
      </c>
      <c r="D45" s="43" t="s">
        <v>122</v>
      </c>
      <c r="E45" s="70" t="s">
        <v>208</v>
      </c>
      <c r="F45" s="43" t="s">
        <v>96</v>
      </c>
      <c r="G45" s="41" t="s">
        <v>96</v>
      </c>
      <c r="H45" s="41" t="s">
        <v>94</v>
      </c>
      <c r="I45" s="41" t="s">
        <v>87</v>
      </c>
      <c r="J45" s="32" t="str" cm="1">
        <f t="array" ref="J45">_xlfn.LET(
  _xlpm.mapL, منابع!$H$11:$H$15,
  _xlpm.mapN, منابع!$I$11:$I$15,
  _xlpm.C, _xlfn.XLOOKUP(F45,_xlpm.mapL,_xlpm.mapN,""),
  _xlpm.G, _xlfn.XLOOKUP(G45,_xlpm.mapL,_xlpm.mapN,""),
  _xlpm.S, _xlfn.XLOOKUP(H45,_xlpm.mapL,_xlpm.mapN,""),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45" s="69" t="s">
        <v>209</v>
      </c>
    </row>
    <row r="46" spans="1:11">
      <c r="A46" s="40">
        <v>44</v>
      </c>
      <c r="B46" s="41" t="s">
        <v>133</v>
      </c>
      <c r="C46" s="42">
        <v>0.71180555555555558</v>
      </c>
      <c r="D46" s="48" t="s">
        <v>122</v>
      </c>
      <c r="E46" s="71" t="s">
        <v>210</v>
      </c>
      <c r="F46" s="43" t="s">
        <v>96</v>
      </c>
      <c r="G46" s="41" t="s">
        <v>95</v>
      </c>
      <c r="H46" s="41" t="s">
        <v>96</v>
      </c>
      <c r="I46" s="41" t="s">
        <v>86</v>
      </c>
      <c r="J46" s="32" t="str" cm="1">
        <f t="array" ref="J46">_xlfn.LET(
  _xlpm.mapL, منابع!$H$11:$H$15,
  _xlpm.mapN, منابع!$I$11:$I$15,
  _xlpm.C, _xlfn.XLOOKUP(F46,_xlpm.mapL,_xlpm.mapN,""),
  _xlpm.G, _xlfn.XLOOKUP(G46,_xlpm.mapL,_xlpm.mapN,""),
  _xlpm.S, _xlfn.XLOOKUP(H46,_xlpm.mapL,_xlpm.mapN,""),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46" s="69" t="s">
        <v>211</v>
      </c>
    </row>
    <row r="47" spans="1:11">
      <c r="A47" s="40">
        <v>45</v>
      </c>
      <c r="B47" s="41" t="s">
        <v>133</v>
      </c>
      <c r="C47" s="42">
        <v>0.74027777777777781</v>
      </c>
      <c r="D47" s="43" t="s">
        <v>122</v>
      </c>
      <c r="E47" s="70" t="s">
        <v>212</v>
      </c>
      <c r="F47" s="43" t="s">
        <v>96</v>
      </c>
      <c r="G47" s="41" t="s">
        <v>96</v>
      </c>
      <c r="H47" s="41" t="s">
        <v>96</v>
      </c>
      <c r="I47" s="41" t="s">
        <v>101</v>
      </c>
      <c r="J47" s="32" t="str" cm="1">
        <f t="array" ref="J47">_xlfn.LET(
  _xlpm.mapL, منابع!$H$11:$H$15,
  _xlpm.mapN, منابع!$I$11:$I$15,
  _xlpm.C, _xlfn.XLOOKUP(F47,_xlpm.mapL,_xlpm.mapN,""),
  _xlpm.G, _xlfn.XLOOKUP(G47,_xlpm.mapL,_xlpm.mapN,""),
  _xlpm.S, _xlfn.XLOOKUP(H47,_xlpm.mapL,_xlpm.mapN,""),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47" s="69" t="s">
        <v>213</v>
      </c>
    </row>
    <row r="48" spans="1:11">
      <c r="A48" s="40">
        <v>46</v>
      </c>
      <c r="B48" s="41" t="s">
        <v>133</v>
      </c>
      <c r="C48" s="42">
        <v>0.76527777777777772</v>
      </c>
      <c r="D48" s="43" t="s">
        <v>122</v>
      </c>
      <c r="E48" s="71" t="s">
        <v>214</v>
      </c>
      <c r="F48" s="43" t="s">
        <v>96</v>
      </c>
      <c r="G48" s="41" t="s">
        <v>95</v>
      </c>
      <c r="H48" s="41" t="s">
        <v>96</v>
      </c>
      <c r="I48" s="41" t="s">
        <v>101</v>
      </c>
      <c r="J48" s="32" t="str" cm="1">
        <f t="array" ref="J48">_xlfn.LET(
  _xlpm.mapL, منابع!$H$11:$H$15,
  _xlpm.mapN, منابع!$I$11:$I$15,
  _xlpm.C, _xlfn.XLOOKUP(F48,_xlpm.mapL,_xlpm.mapN,""),
  _xlpm.G, _xlfn.XLOOKUP(G48,_xlpm.mapL,_xlpm.mapN,""),
  _xlpm.S, _xlfn.XLOOKUP(H48,_xlpm.mapL,_xlpm.mapN,""),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48" s="69" t="s">
        <v>215</v>
      </c>
    </row>
    <row r="49" spans="1:11">
      <c r="A49" s="40">
        <v>47</v>
      </c>
      <c r="B49" s="41" t="s">
        <v>133</v>
      </c>
      <c r="C49" s="42">
        <v>0.77916666666666667</v>
      </c>
      <c r="D49" s="43" t="s">
        <v>122</v>
      </c>
      <c r="E49" s="68" t="s">
        <v>216</v>
      </c>
      <c r="F49" s="43" t="s">
        <v>96</v>
      </c>
      <c r="G49" s="41" t="s">
        <v>94</v>
      </c>
      <c r="H49" s="41" t="s">
        <v>95</v>
      </c>
      <c r="I49" s="41" t="s">
        <v>101</v>
      </c>
      <c r="J49" s="32" t="str" cm="1">
        <f t="array" ref="J49">_xlfn.LET(
  _xlpm.mapL, منابع!$H$11:$H$15,
  _xlpm.mapN, منابع!$I$11:$I$15,
  _xlpm.C, _xlfn.XLOOKUP(F49,_xlpm.mapL,_xlpm.mapN,""),
  _xlpm.G, _xlfn.XLOOKUP(G49,_xlpm.mapL,_xlpm.mapN,""),
  _xlpm.S, _xlfn.XLOOKUP(H49,_xlpm.mapL,_xlpm.mapN,""),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49" s="69" t="s">
        <v>217</v>
      </c>
    </row>
    <row r="50" spans="1:11">
      <c r="A50" s="40">
        <v>48</v>
      </c>
      <c r="B50" s="41" t="s">
        <v>133</v>
      </c>
      <c r="C50" s="42">
        <v>0.80069444444444449</v>
      </c>
      <c r="D50" s="43" t="s">
        <v>122</v>
      </c>
      <c r="E50" s="68" t="s">
        <v>218</v>
      </c>
      <c r="F50" s="43" t="s">
        <v>96</v>
      </c>
      <c r="G50" s="41" t="s">
        <v>94</v>
      </c>
      <c r="H50" s="41" t="s">
        <v>95</v>
      </c>
      <c r="I50" s="41" t="s">
        <v>88</v>
      </c>
      <c r="J50" s="32" t="str" cm="1">
        <f t="array" ref="J50">_xlfn.LET(
  _xlpm.mapL, منابع!$H$11:$H$15,
  _xlpm.mapN, منابع!$I$11:$I$15,
  _xlpm.C, _xlfn.XLOOKUP(F50,_xlpm.mapL,_xlpm.mapN,""),
  _xlpm.G, _xlfn.XLOOKUP(G50,_xlpm.mapL,_xlpm.mapN,""),
  _xlpm.S, _xlfn.XLOOKUP(H50,_xlpm.mapL,_xlpm.mapN,""),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50" s="69" t="s">
        <v>219</v>
      </c>
    </row>
    <row r="51" spans="1:11">
      <c r="A51" s="40">
        <v>49</v>
      </c>
      <c r="B51" s="41" t="s">
        <v>133</v>
      </c>
      <c r="C51" s="42">
        <v>0.81458333333333333</v>
      </c>
      <c r="D51" s="48" t="s">
        <v>122</v>
      </c>
      <c r="E51" s="68" t="s">
        <v>220</v>
      </c>
      <c r="F51" s="43" t="s">
        <v>95</v>
      </c>
      <c r="G51" s="41" t="s">
        <v>94</v>
      </c>
      <c r="H51" s="41" t="s">
        <v>96</v>
      </c>
      <c r="I51" s="41" t="s">
        <v>87</v>
      </c>
      <c r="J51" s="32" t="str" cm="1">
        <f t="array" ref="J51">_xlfn.LET(
  _xlpm.mapL, منابع!$H$11:$H$15,
  _xlpm.mapN, منابع!$I$11:$I$15,
  _xlpm.C, _xlfn.XLOOKUP(F51,_xlpm.mapL,_xlpm.mapN,""),
  _xlpm.G, _xlfn.XLOOKUP(G51,_xlpm.mapL,_xlpm.mapN,""),
  _xlpm.S, _xlfn.XLOOKUP(H51,_xlpm.mapL,_xlpm.mapN,""),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51" s="69" t="s">
        <v>221</v>
      </c>
    </row>
    <row r="52" spans="1:11">
      <c r="A52" s="40">
        <v>50</v>
      </c>
      <c r="B52" s="41" t="s">
        <v>133</v>
      </c>
      <c r="C52" s="42">
        <v>0.83402777777777781</v>
      </c>
      <c r="D52" s="43" t="s">
        <v>122</v>
      </c>
      <c r="E52" s="68" t="s">
        <v>222</v>
      </c>
      <c r="F52" s="43" t="s">
        <v>96</v>
      </c>
      <c r="G52" s="41" t="s">
        <v>95</v>
      </c>
      <c r="H52" s="41" t="s">
        <v>96</v>
      </c>
      <c r="I52" s="41" t="s">
        <v>101</v>
      </c>
      <c r="J52" s="32" t="str" cm="1">
        <f t="array" ref="J52">_xlfn.LET(
  _xlpm.mapL, منابع!$H$11:$H$15,
  _xlpm.mapN, منابع!$I$11:$I$15,
  _xlpm.C, _xlfn.XLOOKUP(F52,_xlpm.mapL,_xlpm.mapN,""),
  _xlpm.G, _xlfn.XLOOKUP(G52,_xlpm.mapL,_xlpm.mapN,""),
  _xlpm.S, _xlfn.XLOOKUP(H52,_xlpm.mapL,_xlpm.mapN,""),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52" s="69" t="s">
        <v>223</v>
      </c>
    </row>
    <row r="53" spans="1:11">
      <c r="A53" s="40">
        <v>51</v>
      </c>
      <c r="B53" s="41" t="s">
        <v>133</v>
      </c>
      <c r="C53" s="42">
        <v>0.8618055555555556</v>
      </c>
      <c r="D53" s="43" t="s">
        <v>122</v>
      </c>
      <c r="E53" s="68" t="s">
        <v>224</v>
      </c>
      <c r="F53" s="43" t="s">
        <v>96</v>
      </c>
      <c r="G53" s="41" t="s">
        <v>96</v>
      </c>
      <c r="H53" s="41" t="s">
        <v>94</v>
      </c>
      <c r="I53" s="41" t="s">
        <v>88</v>
      </c>
      <c r="J53" s="32" t="str" cm="1">
        <f t="array" ref="J53">_xlfn.LET(
  _xlpm.mapL, منابع!$H$11:$H$15,
  _xlpm.mapN, منابع!$I$11:$I$15,
  _xlpm.C, _xlfn.XLOOKUP(F53,_xlpm.mapL,_xlpm.mapN,""),
  _xlpm.G, _xlfn.XLOOKUP(G53,_xlpm.mapL,_xlpm.mapN,""),
  _xlpm.S, _xlfn.XLOOKUP(H53,_xlpm.mapL,_xlpm.mapN,""),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53" s="69" t="s">
        <v>225</v>
      </c>
    </row>
    <row r="54" spans="1:11">
      <c r="A54" s="40">
        <v>52</v>
      </c>
      <c r="B54" s="41" t="s">
        <v>133</v>
      </c>
      <c r="C54" s="42">
        <v>0.87083333333333335</v>
      </c>
      <c r="D54" s="43" t="s">
        <v>122</v>
      </c>
      <c r="E54" s="68" t="s">
        <v>226</v>
      </c>
      <c r="F54" s="43" t="s">
        <v>96</v>
      </c>
      <c r="G54" s="41" t="s">
        <v>95</v>
      </c>
      <c r="H54" s="41" t="s">
        <v>96</v>
      </c>
      <c r="I54" s="41" t="s">
        <v>101</v>
      </c>
      <c r="J54" s="32" t="str" cm="1">
        <f t="array" ref="J54">_xlfn.LET(
  _xlpm.mapL, منابع!$H$11:$H$15,
  _xlpm.mapN, منابع!$I$11:$I$15,
  _xlpm.C, _xlfn.XLOOKUP(F54,_xlpm.mapL,_xlpm.mapN,""),
  _xlpm.G, _xlfn.XLOOKUP(G54,_xlpm.mapL,_xlpm.mapN,""),
  _xlpm.S, _xlfn.XLOOKUP(H54,_xlpm.mapL,_xlpm.mapN,""),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54" s="69" t="s">
        <v>227</v>
      </c>
    </row>
    <row r="55" spans="1:11">
      <c r="A55" s="40">
        <v>53</v>
      </c>
      <c r="B55" s="41" t="s">
        <v>133</v>
      </c>
      <c r="C55" s="42">
        <v>0.87847222222222221</v>
      </c>
      <c r="D55" s="48" t="s">
        <v>122</v>
      </c>
      <c r="E55" s="68" t="s">
        <v>228</v>
      </c>
      <c r="F55" s="43" t="s">
        <v>95</v>
      </c>
      <c r="G55" s="41" t="s">
        <v>95</v>
      </c>
      <c r="H55" s="41" t="s">
        <v>96</v>
      </c>
      <c r="I55" s="41" t="s">
        <v>87</v>
      </c>
      <c r="J55" s="32" t="str" cm="1">
        <f t="array" ref="J55">_xlfn.LET(
  _xlpm.mapL, منابع!$H$11:$H$15,
  _xlpm.mapN, منابع!$I$11:$I$15,
  _xlpm.C, _xlfn.XLOOKUP(F55,_xlpm.mapL,_xlpm.mapN,""),
  _xlpm.G, _xlfn.XLOOKUP(G55,_xlpm.mapL,_xlpm.mapN,""),
  _xlpm.S, _xlfn.XLOOKUP(H55,_xlpm.mapL,_xlpm.mapN,""),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55" s="69" t="s">
        <v>229</v>
      </c>
    </row>
    <row r="56" spans="1:11">
      <c r="A56" s="40">
        <v>54</v>
      </c>
      <c r="B56" s="41" t="s">
        <v>133</v>
      </c>
      <c r="C56" s="42">
        <v>0.90416666666666667</v>
      </c>
      <c r="D56" s="43" t="s">
        <v>122</v>
      </c>
      <c r="E56" s="68" t="s">
        <v>230</v>
      </c>
      <c r="F56" s="43" t="s">
        <v>96</v>
      </c>
      <c r="G56" s="41" t="s">
        <v>95</v>
      </c>
      <c r="H56" s="41" t="s">
        <v>96</v>
      </c>
      <c r="I56" s="41" t="s">
        <v>101</v>
      </c>
      <c r="J56" s="32" t="str" cm="1">
        <f t="array" ref="J56">_xlfn.LET(
  _xlpm.mapL, منابع!$H$11:$H$15,
  _xlpm.mapN, منابع!$I$11:$I$15,
  _xlpm.C, _xlfn.XLOOKUP(F56,_xlpm.mapL,_xlpm.mapN,""),
  _xlpm.G, _xlfn.XLOOKUP(G56,_xlpm.mapL,_xlpm.mapN,""),
  _xlpm.S, _xlfn.XLOOKUP(H56,_xlpm.mapL,_xlpm.mapN,""),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56" s="69" t="s">
        <v>231</v>
      </c>
    </row>
    <row r="57" spans="1:11">
      <c r="A57" s="40">
        <v>55</v>
      </c>
      <c r="B57" s="41" t="s">
        <v>133</v>
      </c>
      <c r="C57" s="42">
        <v>0.92500000000000004</v>
      </c>
      <c r="D57" s="43" t="s">
        <v>122</v>
      </c>
      <c r="E57" s="68" t="s">
        <v>232</v>
      </c>
      <c r="F57" s="43" t="s">
        <v>96</v>
      </c>
      <c r="G57" s="41" t="s">
        <v>94</v>
      </c>
      <c r="H57" s="41" t="s">
        <v>95</v>
      </c>
      <c r="I57" s="41" t="s">
        <v>88</v>
      </c>
      <c r="J57" s="32" t="str" cm="1">
        <f t="array" ref="J57">_xlfn.LET(
  _xlpm.mapL, منابع!$H$11:$H$15,
  _xlpm.mapN, منابع!$I$11:$I$15,
  _xlpm.C, _xlfn.XLOOKUP(F57,_xlpm.mapL,_xlpm.mapN,""),
  _xlpm.G, _xlfn.XLOOKUP(G57,_xlpm.mapL,_xlpm.mapN,""),
  _xlpm.S, _xlfn.XLOOKUP(H57,_xlpm.mapL,_xlpm.mapN,""),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57" s="69" t="s">
        <v>233</v>
      </c>
    </row>
    <row r="58" spans="1:11">
      <c r="A58" s="40">
        <v>56</v>
      </c>
      <c r="B58" s="41" t="s">
        <v>133</v>
      </c>
      <c r="C58" s="42">
        <v>0.9375</v>
      </c>
      <c r="D58" s="43" t="s">
        <v>122</v>
      </c>
      <c r="E58" s="68" t="s">
        <v>234</v>
      </c>
      <c r="F58" s="43" t="s">
        <v>96</v>
      </c>
      <c r="G58" s="41" t="s">
        <v>95</v>
      </c>
      <c r="H58" s="41" t="s">
        <v>95</v>
      </c>
      <c r="I58" s="41" t="s">
        <v>88</v>
      </c>
      <c r="J58" s="32" t="str" cm="1">
        <f t="array" ref="J58">_xlfn.LET(
  _xlpm.mapL, منابع!$H$11:$H$15,
  _xlpm.mapN, منابع!$I$11:$I$15,
  _xlpm.C, _xlfn.XLOOKUP(F58,_xlpm.mapL,_xlpm.mapN,""),
  _xlpm.G, _xlfn.XLOOKUP(G58,_xlpm.mapL,_xlpm.mapN,""),
  _xlpm.S, _xlfn.XLOOKUP(H58,_xlpm.mapL,_xlpm.mapN,""),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58" s="69" t="s">
        <v>235</v>
      </c>
    </row>
    <row r="59" spans="1:11">
      <c r="A59" s="40">
        <v>57</v>
      </c>
      <c r="B59" s="41" t="s">
        <v>133</v>
      </c>
      <c r="C59" s="42">
        <v>0.93819444444444444</v>
      </c>
      <c r="D59" s="43" t="s">
        <v>122</v>
      </c>
      <c r="E59" s="68" t="s">
        <v>236</v>
      </c>
      <c r="F59" s="43" t="s">
        <v>96</v>
      </c>
      <c r="G59" s="41" t="s">
        <v>95</v>
      </c>
      <c r="H59" s="41" t="s">
        <v>96</v>
      </c>
      <c r="I59" s="41" t="s">
        <v>101</v>
      </c>
      <c r="J59" s="32" t="str" cm="1">
        <f t="array" ref="J59">_xlfn.LET(
  _xlpm.mapL, منابع!$H$11:$H$15,
  _xlpm.mapN, منابع!$I$11:$I$15,
  _xlpm.C, _xlfn.XLOOKUP(F59,_xlpm.mapL,_xlpm.mapN,""),
  _xlpm.G, _xlfn.XLOOKUP(G59,_xlpm.mapL,_xlpm.mapN,""),
  _xlpm.S, _xlfn.XLOOKUP(H59,_xlpm.mapL,_xlpm.mapN,""),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59" s="69" t="s">
        <v>237</v>
      </c>
    </row>
    <row r="60" spans="1:11">
      <c r="A60" s="40">
        <v>58</v>
      </c>
      <c r="B60" s="41" t="s">
        <v>133</v>
      </c>
      <c r="C60" s="42">
        <v>0.94722222222222219</v>
      </c>
      <c r="D60" s="47" t="s">
        <v>122</v>
      </c>
      <c r="E60" s="68" t="s">
        <v>238</v>
      </c>
      <c r="F60" s="43" t="s">
        <v>96</v>
      </c>
      <c r="G60" s="41" t="s">
        <v>95</v>
      </c>
      <c r="H60" s="41" t="s">
        <v>96</v>
      </c>
      <c r="I60" s="41" t="s">
        <v>101</v>
      </c>
      <c r="J60" s="32" t="str" cm="1">
        <f t="array" ref="J60">_xlfn.LET(
  _xlpm.mapL, منابع!$H$11:$H$15,
  _xlpm.mapN, منابع!$I$11:$I$15,
  _xlpm.C, _xlfn.XLOOKUP(F60,_xlpm.mapL,_xlpm.mapN,""),
  _xlpm.G, _xlfn.XLOOKUP(G60,_xlpm.mapL,_xlpm.mapN,""),
  _xlpm.S, _xlfn.XLOOKUP(H60,_xlpm.mapL,_xlpm.mapN,""),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60" s="69" t="s">
        <v>239</v>
      </c>
    </row>
    <row r="61" spans="1:11">
      <c r="A61" s="40">
        <v>59</v>
      </c>
      <c r="B61" s="41" t="s">
        <v>133</v>
      </c>
      <c r="C61" s="42">
        <v>0.94930555555555551</v>
      </c>
      <c r="D61" s="43" t="s">
        <v>122</v>
      </c>
      <c r="E61" s="68" t="s">
        <v>240</v>
      </c>
      <c r="F61" s="43" t="s">
        <v>95</v>
      </c>
      <c r="G61" s="41" t="s">
        <v>94</v>
      </c>
      <c r="H61" s="41" t="s">
        <v>96</v>
      </c>
      <c r="I61" s="41" t="s">
        <v>88</v>
      </c>
      <c r="J61" s="32" t="str" cm="1">
        <f t="array" ref="J61">_xlfn.LET(
  _xlpm.mapL, منابع!$H$11:$H$15,
  _xlpm.mapN, منابع!$I$11:$I$15,
  _xlpm.C, _xlfn.XLOOKUP(F61,_xlpm.mapL,_xlpm.mapN,""),
  _xlpm.G, _xlfn.XLOOKUP(G61,_xlpm.mapL,_xlpm.mapN,""),
  _xlpm.S, _xlfn.XLOOKUP(H61,_xlpm.mapL,_xlpm.mapN,""),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61" s="69" t="s">
        <v>241</v>
      </c>
    </row>
    <row r="62" spans="1:11">
      <c r="A62" s="40">
        <v>60</v>
      </c>
      <c r="B62" s="41" t="s">
        <v>133</v>
      </c>
      <c r="C62" s="42">
        <v>0.98402777777777772</v>
      </c>
      <c r="D62" s="43" t="s">
        <v>122</v>
      </c>
      <c r="E62" s="68" t="s">
        <v>242</v>
      </c>
      <c r="F62" s="43" t="s">
        <v>96</v>
      </c>
      <c r="G62" s="41" t="s">
        <v>94</v>
      </c>
      <c r="H62" s="41" t="s">
        <v>96</v>
      </c>
      <c r="I62" s="41" t="s">
        <v>87</v>
      </c>
      <c r="J62" s="32" t="str" cm="1">
        <f t="array" ref="J62">_xlfn.LET(
  _xlpm.mapL, منابع!$H$11:$H$15,
  _xlpm.mapN, منابع!$I$11:$I$15,
  _xlpm.C, _xlfn.XLOOKUP(F62,_xlpm.mapL,_xlpm.mapN,""),
  _xlpm.G, _xlfn.XLOOKUP(G62,_xlpm.mapL,_xlpm.mapN,""),
  _xlpm.S, _xlfn.XLOOKUP(H62,_xlpm.mapL,_xlpm.mapN,""),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62" s="69" t="s">
        <v>243</v>
      </c>
    </row>
    <row r="63" spans="1:11">
      <c r="A63" s="40">
        <v>61</v>
      </c>
      <c r="B63" s="41" t="s">
        <v>244</v>
      </c>
      <c r="C63" s="72">
        <v>1.1111111111111112E-2</v>
      </c>
      <c r="D63" s="43" t="s">
        <v>122</v>
      </c>
      <c r="E63" s="68" t="s">
        <v>246</v>
      </c>
      <c r="F63" s="43" t="s">
        <v>96</v>
      </c>
      <c r="G63" s="41" t="s">
        <v>94</v>
      </c>
      <c r="H63" s="41" t="s">
        <v>96</v>
      </c>
      <c r="I63" s="41" t="s">
        <v>101</v>
      </c>
      <c r="J63" s="32" t="str" cm="1">
        <f t="array" ref="J63">_xlfn.LET(
  _xlpm.mapL, منابع!$H$11:$H$15,
  _xlpm.mapN, منابع!$I$11:$I$15,
  _xlpm.C, _xlfn.XLOOKUP(F63,_xlpm.mapL,_xlpm.mapN,""),
  _xlpm.G, _xlfn.XLOOKUP(G63,_xlpm.mapL,_xlpm.mapN,""),
  _xlpm.S, _xlfn.XLOOKUP(H63,_xlpm.mapL,_xlpm.mapN,""),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63" s="69" t="s">
        <v>245</v>
      </c>
    </row>
    <row r="64" spans="1:11">
      <c r="A64" s="40">
        <v>62</v>
      </c>
      <c r="B64" s="41" t="s">
        <v>244</v>
      </c>
      <c r="C64" s="42">
        <v>6.6666666666666666E-2</v>
      </c>
      <c r="D64" s="43" t="s">
        <v>122</v>
      </c>
      <c r="E64" s="68" t="s">
        <v>248</v>
      </c>
      <c r="F64" s="43" t="s">
        <v>96</v>
      </c>
      <c r="G64" s="41" t="s">
        <v>95</v>
      </c>
      <c r="H64" s="41" t="s">
        <v>96</v>
      </c>
      <c r="I64" s="41" t="s">
        <v>88</v>
      </c>
      <c r="J64" s="32" t="str" cm="1">
        <f t="array" ref="J64">_xlfn.LET(
  _xlpm.mapL, منابع!$H$11:$H$15,
  _xlpm.mapN, منابع!$I$11:$I$15,
  _xlpm.C, _xlfn.XLOOKUP(F64,_xlpm.mapL,_xlpm.mapN,""),
  _xlpm.G, _xlfn.XLOOKUP(G64,_xlpm.mapL,_xlpm.mapN,""),
  _xlpm.S, _xlfn.XLOOKUP(H64,_xlpm.mapL,_xlpm.mapN,""),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64" s="41" t="s">
        <v>247</v>
      </c>
    </row>
    <row r="65" spans="1:11">
      <c r="A65" s="40">
        <v>63</v>
      </c>
      <c r="B65" s="41" t="s">
        <v>244</v>
      </c>
      <c r="C65" s="42">
        <v>7.1527777777777773E-2</v>
      </c>
      <c r="D65" s="43" t="s">
        <v>122</v>
      </c>
      <c r="E65" s="68" t="s">
        <v>250</v>
      </c>
      <c r="F65" s="43" t="s">
        <v>96</v>
      </c>
      <c r="G65" s="41" t="s">
        <v>94</v>
      </c>
      <c r="H65" s="41" t="s">
        <v>96</v>
      </c>
      <c r="I65" s="41" t="s">
        <v>101</v>
      </c>
      <c r="J65" s="32" t="str" cm="1">
        <f t="array" ref="J65">_xlfn.LET(
  _xlpm.mapL, منابع!$H$11:$H$15,
  _xlpm.mapN, منابع!$I$11:$I$15,
  _xlpm.C, _xlfn.XLOOKUP(F65,_xlpm.mapL,_xlpm.mapN,""),
  _xlpm.G, _xlfn.XLOOKUP(G65,_xlpm.mapL,_xlpm.mapN,""),
  _xlpm.S, _xlfn.XLOOKUP(H65,_xlpm.mapL,_xlpm.mapN,""),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65" s="69" t="s">
        <v>249</v>
      </c>
    </row>
    <row r="66" spans="1:11">
      <c r="A66" s="40">
        <v>64</v>
      </c>
      <c r="B66" s="41" t="s">
        <v>244</v>
      </c>
      <c r="C66" s="42">
        <v>7.9861111111111105E-2</v>
      </c>
      <c r="D66" s="47" t="s">
        <v>122</v>
      </c>
      <c r="E66" s="70" t="s">
        <v>251</v>
      </c>
      <c r="F66" s="43" t="s">
        <v>96</v>
      </c>
      <c r="G66" s="41" t="s">
        <v>96</v>
      </c>
      <c r="H66" s="41" t="s">
        <v>96</v>
      </c>
      <c r="I66" s="41" t="s">
        <v>101</v>
      </c>
      <c r="J66" s="32" t="str" cm="1">
        <f t="array" ref="J66">_xlfn.LET(
  _xlpm.mapL, منابع!$H$11:$H$15,
  _xlpm.mapN, منابع!$I$11:$I$15,
  _xlpm.C, _xlfn.XLOOKUP(F66,_xlpm.mapL,_xlpm.mapN,""),
  _xlpm.G, _xlfn.XLOOKUP(G66,_xlpm.mapL,_xlpm.mapN,""),
  _xlpm.S, _xlfn.XLOOKUP(H66,_xlpm.mapL,_xlpm.mapN,""),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66" s="69" t="s">
        <v>252</v>
      </c>
    </row>
    <row r="67" spans="1:11">
      <c r="A67" s="40">
        <v>65</v>
      </c>
      <c r="B67" s="41" t="s">
        <v>244</v>
      </c>
      <c r="C67" s="42">
        <v>9.0277777777777776E-2</v>
      </c>
      <c r="D67" s="50" t="s">
        <v>122</v>
      </c>
      <c r="E67" s="71" t="s">
        <v>253</v>
      </c>
      <c r="F67" s="43" t="s">
        <v>96</v>
      </c>
      <c r="G67" s="41" t="s">
        <v>94</v>
      </c>
      <c r="H67" s="41" t="s">
        <v>94</v>
      </c>
      <c r="I67" s="41" t="s">
        <v>88</v>
      </c>
      <c r="J67" s="32" t="str" cm="1">
        <f t="array" ref="J67">_xlfn.LET(
  _xlpm.mapL, منابع!$H$11:$H$15,
  _xlpm.mapN, منابع!$I$11:$I$15,
  _xlpm.C, _xlfn.XLOOKUP(F67,_xlpm.mapL,_xlpm.mapN,""),
  _xlpm.G, _xlfn.XLOOKUP(G67,_xlpm.mapL,_xlpm.mapN,""),
  _xlpm.S, _xlfn.XLOOKUP(H67,_xlpm.mapL,_xlpm.mapN,""),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67" s="69" t="s">
        <v>254</v>
      </c>
    </row>
    <row r="68" spans="1:11">
      <c r="A68" s="40">
        <v>66</v>
      </c>
      <c r="B68" s="41" t="s">
        <v>244</v>
      </c>
      <c r="C68" s="42">
        <v>0.11319444444444444</v>
      </c>
      <c r="D68" s="43" t="s">
        <v>122</v>
      </c>
      <c r="E68" s="70" t="s">
        <v>256</v>
      </c>
      <c r="F68" s="43" t="s">
        <v>95</v>
      </c>
      <c r="G68" s="41" t="s">
        <v>94</v>
      </c>
      <c r="H68" s="41" t="s">
        <v>96</v>
      </c>
      <c r="I68" s="41" t="s">
        <v>101</v>
      </c>
      <c r="J68" s="32" t="str" cm="1">
        <f t="array" ref="J68">_xlfn.LET(
  _xlpm.mapL, منابع!$H$11:$H$15,
  _xlpm.mapN, منابع!$I$11:$I$15,
  _xlpm.C, _xlfn.XLOOKUP(F68,_xlpm.mapL,_xlpm.mapN,""),
  _xlpm.G, _xlfn.XLOOKUP(G68,_xlpm.mapL,_xlpm.mapN,""),
  _xlpm.S, _xlfn.XLOOKUP(H68,_xlpm.mapL,_xlpm.mapN,""),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68" s="69" t="s">
        <v>255</v>
      </c>
    </row>
    <row r="69" spans="1:11">
      <c r="A69" s="40">
        <v>67</v>
      </c>
      <c r="B69" s="41" t="s">
        <v>244</v>
      </c>
      <c r="C69" s="42">
        <v>0.15069444444444444</v>
      </c>
      <c r="D69" s="43" t="s">
        <v>122</v>
      </c>
      <c r="E69" s="70" t="s">
        <v>257</v>
      </c>
      <c r="F69" s="43" t="s">
        <v>95</v>
      </c>
      <c r="G69" s="41" t="s">
        <v>96</v>
      </c>
      <c r="H69" s="41" t="s">
        <v>94</v>
      </c>
      <c r="I69" s="41" t="s">
        <v>101</v>
      </c>
      <c r="J69" s="32" t="str" cm="1">
        <f t="array" ref="J69">_xlfn.LET(
  _xlpm.mapL, منابع!$H$11:$H$15,
  _xlpm.mapN, منابع!$I$11:$I$15,
  _xlpm.C, _xlfn.XLOOKUP(F69,_xlpm.mapL,_xlpm.mapN,""),
  _xlpm.G, _xlfn.XLOOKUP(G69,_xlpm.mapL,_xlpm.mapN,""),
  _xlpm.S, _xlfn.XLOOKUP(H69,_xlpm.mapL,_xlpm.mapN,""),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69" s="69" t="s">
        <v>258</v>
      </c>
    </row>
    <row r="70" spans="1:11">
      <c r="A70" s="40">
        <v>68</v>
      </c>
      <c r="B70" s="41" t="s">
        <v>244</v>
      </c>
      <c r="C70" s="42">
        <v>0.15347222222222223</v>
      </c>
      <c r="D70" s="43" t="s">
        <v>122</v>
      </c>
      <c r="E70" s="70" t="s">
        <v>259</v>
      </c>
      <c r="F70" s="43" t="s">
        <v>96</v>
      </c>
      <c r="G70" s="41" t="s">
        <v>94</v>
      </c>
      <c r="H70" s="41" t="s">
        <v>96</v>
      </c>
      <c r="I70" s="41" t="s">
        <v>87</v>
      </c>
      <c r="J70" s="32" t="str" cm="1">
        <f t="array" ref="J70">_xlfn.LET(
  _xlpm.mapL, منابع!$H$11:$H$15,
  _xlpm.mapN, منابع!$I$11:$I$15,
  _xlpm.C, _xlfn.XLOOKUP(F70,_xlpm.mapL,_xlpm.mapN,""),
  _xlpm.G, _xlfn.XLOOKUP(G70,_xlpm.mapL,_xlpm.mapN,""),
  _xlpm.S, _xlfn.XLOOKUP(H70,_xlpm.mapL,_xlpm.mapN,""),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70" s="69" t="s">
        <v>260</v>
      </c>
    </row>
    <row r="71" spans="1:11">
      <c r="A71" s="40">
        <v>69</v>
      </c>
      <c r="B71" s="41" t="s">
        <v>244</v>
      </c>
      <c r="C71" s="42">
        <v>0.15694444444444444</v>
      </c>
      <c r="D71" s="43" t="s">
        <v>122</v>
      </c>
      <c r="E71" s="71" t="s">
        <v>261</v>
      </c>
      <c r="F71" s="43" t="s">
        <v>95</v>
      </c>
      <c r="G71" s="41" t="s">
        <v>94</v>
      </c>
      <c r="H71" s="41" t="s">
        <v>96</v>
      </c>
      <c r="I71" s="41" t="s">
        <v>88</v>
      </c>
      <c r="J71" s="32" t="str" cm="1">
        <f t="array" ref="J71">_xlfn.LET(
  _xlpm.mapL, منابع!$H$11:$H$15,
  _xlpm.mapN, منابع!$I$11:$I$15,
  _xlpm.C, _xlfn.XLOOKUP(F71,_xlpm.mapL,_xlpm.mapN,""),
  _xlpm.G, _xlfn.XLOOKUP(G71,_xlpm.mapL,_xlpm.mapN,""),
  _xlpm.S, _xlfn.XLOOKUP(H71,_xlpm.mapL,_xlpm.mapN,""),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71" s="69" t="s">
        <v>262</v>
      </c>
    </row>
    <row r="72" spans="1:11">
      <c r="A72" s="40">
        <v>70</v>
      </c>
      <c r="B72" s="41" t="s">
        <v>244</v>
      </c>
      <c r="C72" s="42">
        <v>0.17152777777777778</v>
      </c>
      <c r="D72" s="43" t="s">
        <v>122</v>
      </c>
      <c r="E72" s="70" t="s">
        <v>263</v>
      </c>
      <c r="F72" s="43" t="s">
        <v>95</v>
      </c>
      <c r="G72" s="41" t="s">
        <v>94</v>
      </c>
      <c r="H72" s="41" t="s">
        <v>96</v>
      </c>
      <c r="I72" s="41" t="s">
        <v>88</v>
      </c>
      <c r="J72" s="32" t="str" cm="1">
        <f t="array" ref="J72">_xlfn.LET(
  _xlpm.mapL, منابع!$H$11:$H$15,
  _xlpm.mapN, منابع!$I$11:$I$15,
  _xlpm.C, _xlfn.XLOOKUP(F72,_xlpm.mapL,_xlpm.mapN,""),
  _xlpm.G, _xlfn.XLOOKUP(G72,_xlpm.mapL,_xlpm.mapN,""),
  _xlpm.S, _xlfn.XLOOKUP(H72,_xlpm.mapL,_xlpm.mapN,""),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72" s="69" t="s">
        <v>264</v>
      </c>
    </row>
    <row r="73" spans="1:11">
      <c r="A73" s="40">
        <v>71</v>
      </c>
      <c r="B73" s="41" t="s">
        <v>244</v>
      </c>
      <c r="C73" s="42">
        <v>0.21666666666666667</v>
      </c>
      <c r="D73" s="43" t="s">
        <v>122</v>
      </c>
      <c r="E73" s="70" t="s">
        <v>265</v>
      </c>
      <c r="F73" s="43" t="s">
        <v>96</v>
      </c>
      <c r="G73" s="41" t="s">
        <v>96</v>
      </c>
      <c r="H73" s="41" t="s">
        <v>95</v>
      </c>
      <c r="I73" s="41" t="s">
        <v>101</v>
      </c>
      <c r="J73" s="32" t="str" cm="1">
        <f t="array" ref="J73">_xlfn.LET(
  _xlpm.mapL, منابع!$H$11:$H$15,
  _xlpm.mapN, منابع!$I$11:$I$15,
  _xlpm.C, _xlfn.XLOOKUP(F73,_xlpm.mapL,_xlpm.mapN,""),
  _xlpm.G, _xlfn.XLOOKUP(G73,_xlpm.mapL,_xlpm.mapN,""),
  _xlpm.S, _xlfn.XLOOKUP(H73,_xlpm.mapL,_xlpm.mapN,""),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73" s="69" t="s">
        <v>266</v>
      </c>
    </row>
    <row r="74" spans="1:11">
      <c r="A74" s="40">
        <v>72</v>
      </c>
      <c r="B74" s="41" t="s">
        <v>244</v>
      </c>
      <c r="C74" s="42">
        <v>0.21875</v>
      </c>
      <c r="D74" s="43" t="s">
        <v>122</v>
      </c>
      <c r="E74" s="68" t="s">
        <v>267</v>
      </c>
      <c r="F74" s="43" t="s">
        <v>96</v>
      </c>
      <c r="G74" s="41" t="s">
        <v>96</v>
      </c>
      <c r="H74" s="41" t="s">
        <v>95</v>
      </c>
      <c r="I74" s="41" t="s">
        <v>101</v>
      </c>
      <c r="J74" s="32" t="str" cm="1">
        <f t="array" ref="J74">_xlfn.LET(
  _xlpm.mapL, منابع!$H$11:$H$15,
  _xlpm.mapN, منابع!$I$11:$I$15,
  _xlpm.C, _xlfn.XLOOKUP(F74,_xlpm.mapL,_xlpm.mapN,""),
  _xlpm.G, _xlfn.XLOOKUP(G74,_xlpm.mapL,_xlpm.mapN,""),
  _xlpm.S, _xlfn.XLOOKUP(H74,_xlpm.mapL,_xlpm.mapN,""),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74" s="69" t="s">
        <v>268</v>
      </c>
    </row>
    <row r="75" spans="1:11">
      <c r="A75" s="40">
        <v>73</v>
      </c>
      <c r="B75" s="41" t="s">
        <v>244</v>
      </c>
      <c r="C75" s="42">
        <v>0.22638888888888889</v>
      </c>
      <c r="D75" s="43" t="s">
        <v>122</v>
      </c>
      <c r="E75" s="68" t="s">
        <v>269</v>
      </c>
      <c r="F75" s="43" t="s">
        <v>96</v>
      </c>
      <c r="G75" s="41" t="s">
        <v>96</v>
      </c>
      <c r="H75" s="41" t="s">
        <v>95</v>
      </c>
      <c r="I75" s="41" t="s">
        <v>101</v>
      </c>
      <c r="J75" s="32" t="str" cm="1">
        <f t="array" ref="J75">_xlfn.LET(
  _xlpm.mapL, منابع!$H$11:$H$15,
  _xlpm.mapN, منابع!$I$11:$I$15,
  _xlpm.C, _xlfn.XLOOKUP(F75,_xlpm.mapL,_xlpm.mapN,""),
  _xlpm.G, _xlfn.XLOOKUP(G75,_xlpm.mapL,_xlpm.mapN,""),
  _xlpm.S, _xlfn.XLOOKUP(H75,_xlpm.mapL,_xlpm.mapN,""),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75" s="69" t="s">
        <v>270</v>
      </c>
    </row>
    <row r="76" spans="1:11">
      <c r="A76" s="40">
        <v>74</v>
      </c>
      <c r="B76" s="41" t="s">
        <v>244</v>
      </c>
      <c r="C76" s="42">
        <v>0.24930555555555556</v>
      </c>
      <c r="D76" s="43" t="s">
        <v>122</v>
      </c>
      <c r="E76" s="68" t="s">
        <v>271</v>
      </c>
      <c r="F76" s="43" t="s">
        <v>95</v>
      </c>
      <c r="G76" s="41" t="s">
        <v>95</v>
      </c>
      <c r="H76" s="41" t="s">
        <v>96</v>
      </c>
      <c r="I76" s="41" t="s">
        <v>101</v>
      </c>
      <c r="J76" s="32" t="str" cm="1">
        <f t="array" ref="J76">_xlfn.LET(
  _xlpm.mapL, منابع!$H$11:$H$15,
  _xlpm.mapN, منابع!$I$11:$I$15,
  _xlpm.C, _xlfn.XLOOKUP(F76,_xlpm.mapL,_xlpm.mapN,""),
  _xlpm.G, _xlfn.XLOOKUP(G76,_xlpm.mapL,_xlpm.mapN,""),
  _xlpm.S, _xlfn.XLOOKUP(H76,_xlpm.mapL,_xlpm.mapN,""),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76" s="69" t="s">
        <v>272</v>
      </c>
    </row>
    <row r="77" spans="1:11">
      <c r="A77" s="40">
        <v>75</v>
      </c>
      <c r="B77" s="41" t="s">
        <v>244</v>
      </c>
      <c r="C77" s="42">
        <v>0.2590277777777778</v>
      </c>
      <c r="D77" s="43" t="s">
        <v>122</v>
      </c>
      <c r="E77" s="68" t="s">
        <v>274</v>
      </c>
      <c r="F77" s="43" t="s">
        <v>96</v>
      </c>
      <c r="G77" s="41" t="s">
        <v>96</v>
      </c>
      <c r="H77" s="41" t="s">
        <v>95</v>
      </c>
      <c r="I77" s="41" t="s">
        <v>101</v>
      </c>
      <c r="J77" s="32" t="str" cm="1">
        <f t="array" ref="J77">_xlfn.LET(
  _xlpm.mapL, منابع!$H$11:$H$15,
  _xlpm.mapN, منابع!$I$11:$I$15,
  _xlpm.C, _xlfn.XLOOKUP(F77,_xlpm.mapL,_xlpm.mapN,""),
  _xlpm.G, _xlfn.XLOOKUP(G77,_xlpm.mapL,_xlpm.mapN,""),
  _xlpm.S, _xlfn.XLOOKUP(H77,_xlpm.mapL,_xlpm.mapN,""),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77" s="69" t="s">
        <v>273</v>
      </c>
    </row>
    <row r="78" spans="1:11">
      <c r="A78" s="40">
        <v>76</v>
      </c>
      <c r="B78" s="41" t="s">
        <v>244</v>
      </c>
      <c r="C78" s="42">
        <v>0.26527777777777778</v>
      </c>
      <c r="D78" s="43" t="s">
        <v>122</v>
      </c>
      <c r="E78" s="68" t="s">
        <v>275</v>
      </c>
      <c r="F78" s="43" t="s">
        <v>95</v>
      </c>
      <c r="G78" s="41" t="s">
        <v>94</v>
      </c>
      <c r="H78" s="41" t="s">
        <v>96</v>
      </c>
      <c r="I78" s="41" t="s">
        <v>88</v>
      </c>
      <c r="J78" s="32" t="str" cm="1">
        <f t="array" ref="J78">_xlfn.LET(
  _xlpm.mapL, منابع!$H$11:$H$15,
  _xlpm.mapN, منابع!$I$11:$I$15,
  _xlpm.C, _xlfn.XLOOKUP(F78,_xlpm.mapL,_xlpm.mapN,""),
  _xlpm.G, _xlfn.XLOOKUP(G78,_xlpm.mapL,_xlpm.mapN,""),
  _xlpm.S, _xlfn.XLOOKUP(H78,_xlpm.mapL,_xlpm.mapN,""),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78" s="69" t="s">
        <v>276</v>
      </c>
    </row>
    <row r="79" spans="1:11">
      <c r="A79" s="40">
        <v>77</v>
      </c>
      <c r="B79" s="41" t="s">
        <v>244</v>
      </c>
      <c r="C79" s="42">
        <v>0.30833333333333335</v>
      </c>
      <c r="D79" s="43" t="s">
        <v>122</v>
      </c>
      <c r="E79" s="68" t="s">
        <v>277</v>
      </c>
      <c r="F79" s="43" t="s">
        <v>96</v>
      </c>
      <c r="G79" s="41" t="s">
        <v>96</v>
      </c>
      <c r="H79" s="41" t="s">
        <v>96</v>
      </c>
      <c r="I79" s="41" t="s">
        <v>101</v>
      </c>
      <c r="J79" s="32" t="str" cm="1">
        <f t="array" ref="J79">_xlfn.LET(
  _xlpm.mapL, منابع!$H$11:$H$15,
  _xlpm.mapN, منابع!$I$11:$I$15,
  _xlpm.C, _xlfn.XLOOKUP(F79,_xlpm.mapL,_xlpm.mapN,""),
  _xlpm.G, _xlfn.XLOOKUP(G79,_xlpm.mapL,_xlpm.mapN,""),
  _xlpm.S, _xlfn.XLOOKUP(H79,_xlpm.mapL,_xlpm.mapN,""),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79" s="69" t="s">
        <v>278</v>
      </c>
    </row>
    <row r="80" spans="1:11">
      <c r="A80" s="40">
        <v>78</v>
      </c>
      <c r="B80" s="41" t="s">
        <v>244</v>
      </c>
      <c r="C80" s="42">
        <v>0.3576388888888889</v>
      </c>
      <c r="D80" s="43" t="s">
        <v>122</v>
      </c>
      <c r="E80" s="68" t="s">
        <v>279</v>
      </c>
      <c r="F80" s="43" t="s">
        <v>95</v>
      </c>
      <c r="G80" s="41" t="s">
        <v>94</v>
      </c>
      <c r="H80" s="41" t="s">
        <v>95</v>
      </c>
      <c r="I80" s="41" t="s">
        <v>86</v>
      </c>
      <c r="J80" s="32" t="str" cm="1">
        <f t="array" ref="J80">_xlfn.LET(
  _xlpm.mapL, منابع!$H$11:$H$15,
  _xlpm.mapN, منابع!$I$11:$I$15,
  _xlpm.C, _xlfn.XLOOKUP(F80,_xlpm.mapL,_xlpm.mapN,""),
  _xlpm.G, _xlfn.XLOOKUP(G80,_xlpm.mapL,_xlpm.mapN,""),
  _xlpm.S, _xlfn.XLOOKUP(H80,_xlpm.mapL,_xlpm.mapN,""),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80" s="69" t="s">
        <v>280</v>
      </c>
    </row>
    <row r="81" spans="1:11">
      <c r="A81" s="40">
        <v>79</v>
      </c>
      <c r="B81" s="41" t="s">
        <v>244</v>
      </c>
      <c r="C81" s="42">
        <v>0.38680555555555557</v>
      </c>
      <c r="D81" s="43" t="s">
        <v>122</v>
      </c>
      <c r="E81" s="68" t="s">
        <v>281</v>
      </c>
      <c r="F81" s="43" t="s">
        <v>96</v>
      </c>
      <c r="G81" s="41" t="s">
        <v>96</v>
      </c>
      <c r="H81" s="41" t="s">
        <v>94</v>
      </c>
      <c r="I81" s="41" t="s">
        <v>86</v>
      </c>
      <c r="J81" s="32" t="str" cm="1">
        <f t="array" ref="J81">_xlfn.LET(
  _xlpm.mapL, منابع!$H$11:$H$15,
  _xlpm.mapN, منابع!$I$11:$I$15,
  _xlpm.C, _xlfn.XLOOKUP(F81,_xlpm.mapL,_xlpm.mapN,""),
  _xlpm.G, _xlfn.XLOOKUP(G81,_xlpm.mapL,_xlpm.mapN,""),
  _xlpm.S, _xlfn.XLOOKUP(H81,_xlpm.mapL,_xlpm.mapN,""),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81" s="69" t="s">
        <v>282</v>
      </c>
    </row>
    <row r="82" spans="1:11">
      <c r="A82" s="40">
        <v>80</v>
      </c>
      <c r="B82" s="41" t="s">
        <v>244</v>
      </c>
      <c r="C82" s="42">
        <v>0.39583333333333331</v>
      </c>
      <c r="D82" s="43" t="s">
        <v>122</v>
      </c>
      <c r="E82" s="68" t="s">
        <v>283</v>
      </c>
      <c r="F82" s="43" t="s">
        <v>95</v>
      </c>
      <c r="G82" s="41" t="s">
        <v>94</v>
      </c>
      <c r="H82" s="41" t="s">
        <v>96</v>
      </c>
      <c r="I82" s="41" t="s">
        <v>87</v>
      </c>
      <c r="J82" s="32" t="str" cm="1">
        <f t="array" ref="J82">_xlfn.LET(
  _xlpm.mapL, منابع!$H$11:$H$15,
  _xlpm.mapN, منابع!$I$11:$I$15,
  _xlpm.C, _xlfn.XLOOKUP(F82,_xlpm.mapL,_xlpm.mapN,""),
  _xlpm.G, _xlfn.XLOOKUP(G82,_xlpm.mapL,_xlpm.mapN,""),
  _xlpm.S, _xlfn.XLOOKUP(H82,_xlpm.mapL,_xlpm.mapN,""),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82" s="69" t="s">
        <v>284</v>
      </c>
    </row>
    <row r="83" spans="1:11">
      <c r="A83" s="40">
        <v>81</v>
      </c>
      <c r="B83" s="41" t="s">
        <v>244</v>
      </c>
      <c r="C83" s="42">
        <v>0.39930555555555558</v>
      </c>
      <c r="D83" s="43" t="s">
        <v>122</v>
      </c>
      <c r="E83" s="68" t="s">
        <v>285</v>
      </c>
      <c r="F83" s="43" t="s">
        <v>96</v>
      </c>
      <c r="G83" s="41" t="s">
        <v>96</v>
      </c>
      <c r="H83" s="41" t="s">
        <v>94</v>
      </c>
      <c r="I83" s="41" t="s">
        <v>86</v>
      </c>
      <c r="J83" s="32" t="str" cm="1">
        <f t="array" ref="J83">_xlfn.LET(
  _xlpm.mapL, منابع!$H$11:$H$15,
  _xlpm.mapN, منابع!$I$11:$I$15,
  _xlpm.C, _xlfn.XLOOKUP(F83,_xlpm.mapL,_xlpm.mapN,""),
  _xlpm.G, _xlfn.XLOOKUP(G83,_xlpm.mapL,_xlpm.mapN,""),
  _xlpm.S, _xlfn.XLOOKUP(H83,_xlpm.mapL,_xlpm.mapN,""),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83" s="69" t="s">
        <v>286</v>
      </c>
    </row>
    <row r="84" spans="1:11">
      <c r="A84" s="40">
        <v>82</v>
      </c>
      <c r="B84" s="41" t="s">
        <v>244</v>
      </c>
      <c r="C84" s="42">
        <v>0.40625</v>
      </c>
      <c r="D84" s="43" t="s">
        <v>122</v>
      </c>
      <c r="E84" s="70" t="s">
        <v>287</v>
      </c>
      <c r="F84" s="43" t="s">
        <v>96</v>
      </c>
      <c r="G84" s="41" t="s">
        <v>94</v>
      </c>
      <c r="H84" s="41" t="s">
        <v>95</v>
      </c>
      <c r="I84" s="41" t="s">
        <v>101</v>
      </c>
      <c r="J84" s="32" t="str" cm="1">
        <f t="array" ref="J84">_xlfn.LET(
  _xlpm.mapL, منابع!$H$11:$H$15,
  _xlpm.mapN, منابع!$I$11:$I$15,
  _xlpm.C, _xlfn.XLOOKUP(F84,_xlpm.mapL,_xlpm.mapN,""),
  _xlpm.G, _xlfn.XLOOKUP(G84,_xlpm.mapL,_xlpm.mapN,""),
  _xlpm.S, _xlfn.XLOOKUP(H84,_xlpm.mapL,_xlpm.mapN,""),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84" s="69" t="s">
        <v>288</v>
      </c>
    </row>
    <row r="85" spans="1:11">
      <c r="A85" s="40">
        <v>83</v>
      </c>
      <c r="B85" s="41" t="s">
        <v>244</v>
      </c>
      <c r="C85" s="42">
        <v>0.41180555555555554</v>
      </c>
      <c r="D85" s="43" t="s">
        <v>122</v>
      </c>
      <c r="E85" s="70" t="s">
        <v>289</v>
      </c>
      <c r="F85" s="43" t="s">
        <v>95</v>
      </c>
      <c r="G85" s="41" t="s">
        <v>94</v>
      </c>
      <c r="H85" s="41" t="s">
        <v>96</v>
      </c>
      <c r="I85" s="41" t="s">
        <v>86</v>
      </c>
      <c r="J85" s="32" t="str" cm="1">
        <f t="array" ref="J85">_xlfn.LET(
  _xlpm.mapL, منابع!$H$11:$H$15,
  _xlpm.mapN, منابع!$I$11:$I$15,
  _xlpm.C, _xlfn.XLOOKUP(F85,_xlpm.mapL,_xlpm.mapN,""),
  _xlpm.G, _xlfn.XLOOKUP(G85,_xlpm.mapL,_xlpm.mapN,""),
  _xlpm.S, _xlfn.XLOOKUP(H85,_xlpm.mapL,_xlpm.mapN,""),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85" s="69" t="s">
        <v>290</v>
      </c>
    </row>
    <row r="86" spans="1:11">
      <c r="A86" s="40">
        <v>84</v>
      </c>
      <c r="B86" s="41" t="s">
        <v>244</v>
      </c>
      <c r="C86" s="42">
        <v>0.43958333333333333</v>
      </c>
      <c r="D86" s="43" t="s">
        <v>122</v>
      </c>
      <c r="E86" s="71" t="s">
        <v>291</v>
      </c>
      <c r="F86" s="43" t="s">
        <v>96</v>
      </c>
      <c r="G86" s="41" t="s">
        <v>94</v>
      </c>
      <c r="H86" s="41" t="s">
        <v>95</v>
      </c>
      <c r="I86" s="41" t="s">
        <v>87</v>
      </c>
      <c r="J86" s="32" t="str" cm="1">
        <f t="array" ref="J86">_xlfn.LET(
  _xlpm.mapL, منابع!$H$11:$H$15,
  _xlpm.mapN, منابع!$I$11:$I$15,
  _xlpm.C, _xlfn.XLOOKUP(F86,_xlpm.mapL,_xlpm.mapN,""),
  _xlpm.G, _xlfn.XLOOKUP(G86,_xlpm.mapL,_xlpm.mapN,""),
  _xlpm.S, _xlfn.XLOOKUP(H86,_xlpm.mapL,_xlpm.mapN,""),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86" s="69" t="s">
        <v>292</v>
      </c>
    </row>
    <row r="87" spans="1:11">
      <c r="A87" s="40">
        <v>85</v>
      </c>
      <c r="B87" s="41" t="s">
        <v>244</v>
      </c>
      <c r="C87" s="42">
        <v>0.45208333333333334</v>
      </c>
      <c r="D87" s="43" t="s">
        <v>122</v>
      </c>
      <c r="E87" s="70" t="s">
        <v>293</v>
      </c>
      <c r="F87" s="43" t="s">
        <v>96</v>
      </c>
      <c r="G87" s="41" t="s">
        <v>95</v>
      </c>
      <c r="H87" s="41" t="s">
        <v>96</v>
      </c>
      <c r="I87" s="41" t="s">
        <v>101</v>
      </c>
      <c r="J87" s="32" t="str" cm="1">
        <f t="array" ref="J87">_xlfn.LET(
  _xlpm.mapL, منابع!$H$11:$H$15,
  _xlpm.mapN, منابع!$I$11:$I$15,
  _xlpm.C, _xlfn.XLOOKUP(F87,_xlpm.mapL,_xlpm.mapN,""),
  _xlpm.G, _xlfn.XLOOKUP(G87,_xlpm.mapL,_xlpm.mapN,""),
  _xlpm.S, _xlfn.XLOOKUP(H87,_xlpm.mapL,_xlpm.mapN,""),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87" s="69" t="s">
        <v>294</v>
      </c>
    </row>
    <row r="88" spans="1:11">
      <c r="A88" s="40">
        <v>86</v>
      </c>
      <c r="B88" s="41" t="s">
        <v>244</v>
      </c>
      <c r="C88" s="42">
        <v>0.46527777777777779</v>
      </c>
      <c r="D88" s="43" t="s">
        <v>122</v>
      </c>
      <c r="E88" s="68" t="s">
        <v>295</v>
      </c>
      <c r="F88" s="43" t="s">
        <v>96</v>
      </c>
      <c r="G88" s="41" t="s">
        <v>95</v>
      </c>
      <c r="H88" s="41" t="s">
        <v>96</v>
      </c>
      <c r="I88" s="41" t="s">
        <v>101</v>
      </c>
      <c r="J88" s="32" t="str" cm="1">
        <f t="array" ref="J88">_xlfn.LET(
  _xlpm.mapL, منابع!$H$11:$H$15,
  _xlpm.mapN, منابع!$I$11:$I$15,
  _xlpm.C, _xlfn.XLOOKUP(F88,_xlpm.mapL,_xlpm.mapN,""),
  _xlpm.G, _xlfn.XLOOKUP(G88,_xlpm.mapL,_xlpm.mapN,""),
  _xlpm.S, _xlfn.XLOOKUP(H88,_xlpm.mapL,_xlpm.mapN,""),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88" s="69" t="s">
        <v>296</v>
      </c>
    </row>
    <row r="89" spans="1:11">
      <c r="A89" s="40">
        <v>87</v>
      </c>
      <c r="B89" s="41" t="s">
        <v>244</v>
      </c>
      <c r="C89" s="42">
        <v>0.48819444444444443</v>
      </c>
      <c r="D89" s="43" t="s">
        <v>122</v>
      </c>
      <c r="E89" s="68" t="s">
        <v>297</v>
      </c>
      <c r="F89" s="43" t="s">
        <v>95</v>
      </c>
      <c r="G89" s="41" t="s">
        <v>94</v>
      </c>
      <c r="H89" s="41" t="s">
        <v>96</v>
      </c>
      <c r="I89" s="41" t="s">
        <v>88</v>
      </c>
      <c r="J89" s="32" t="str" cm="1">
        <f t="array" ref="J89">_xlfn.LET(
  _xlpm.mapL, منابع!$H$11:$H$15,
  _xlpm.mapN, منابع!$I$11:$I$15,
  _xlpm.C, _xlfn.XLOOKUP(F89,_xlpm.mapL,_xlpm.mapN,""),
  _xlpm.G, _xlfn.XLOOKUP(G89,_xlpm.mapL,_xlpm.mapN,""),
  _xlpm.S, _xlfn.XLOOKUP(H89,_xlpm.mapL,_xlpm.mapN,""),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89" s="69" t="s">
        <v>298</v>
      </c>
    </row>
    <row r="90" spans="1:11">
      <c r="A90" s="40">
        <v>88</v>
      </c>
      <c r="B90" s="41" t="s">
        <v>244</v>
      </c>
      <c r="C90" s="42">
        <v>0.49583333333333335</v>
      </c>
      <c r="D90" s="47" t="s">
        <v>122</v>
      </c>
      <c r="E90" s="68" t="s">
        <v>299</v>
      </c>
      <c r="F90" s="43" t="s">
        <v>96</v>
      </c>
      <c r="G90" s="41" t="s">
        <v>96</v>
      </c>
      <c r="H90" s="41" t="s">
        <v>96</v>
      </c>
      <c r="I90" s="41" t="s">
        <v>101</v>
      </c>
      <c r="J90" s="32" t="str" cm="1">
        <f t="array" ref="J90">_xlfn.LET(
  _xlpm.mapL, منابع!$H$11:$H$15,
  _xlpm.mapN, منابع!$I$11:$I$15,
  _xlpm.C, _xlfn.XLOOKUP(F90,_xlpm.mapL,_xlpm.mapN,""),
  _xlpm.G, _xlfn.XLOOKUP(G90,_xlpm.mapL,_xlpm.mapN,""),
  _xlpm.S, _xlfn.XLOOKUP(H90,_xlpm.mapL,_xlpm.mapN,""),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90" s="69" t="s">
        <v>300</v>
      </c>
    </row>
    <row r="91" spans="1:11">
      <c r="A91" s="40">
        <v>89</v>
      </c>
      <c r="B91" s="41" t="s">
        <v>244</v>
      </c>
      <c r="C91" s="42">
        <v>0.51180555555555551</v>
      </c>
      <c r="D91" s="43" t="s">
        <v>122</v>
      </c>
      <c r="E91" s="68" t="s">
        <v>325</v>
      </c>
      <c r="F91" s="43" t="s">
        <v>96</v>
      </c>
      <c r="G91" s="41" t="s">
        <v>95</v>
      </c>
      <c r="H91" s="41" t="s">
        <v>96</v>
      </c>
      <c r="I91" s="41" t="s">
        <v>101</v>
      </c>
      <c r="J91" s="32" t="str" cm="1">
        <f t="array" ref="J91">_xlfn.LET(
  _xlpm.mapL, منابع!$H$11:$H$15,
  _xlpm.mapN, منابع!$I$11:$I$15,
  _xlpm.C, _xlfn.XLOOKUP(F91,_xlpm.mapL,_xlpm.mapN,""),
  _xlpm.G, _xlfn.XLOOKUP(G91,_xlpm.mapL,_xlpm.mapN,""),
  _xlpm.S, _xlfn.XLOOKUP(H91,_xlpm.mapL,_xlpm.mapN,""),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91" s="69" t="s">
        <v>324</v>
      </c>
    </row>
    <row r="92" spans="1:11">
      <c r="A92" s="40">
        <v>90</v>
      </c>
      <c r="B92" s="41" t="s">
        <v>244</v>
      </c>
      <c r="C92" s="42">
        <v>0.5180555555555556</v>
      </c>
      <c r="D92" s="43" t="s">
        <v>122</v>
      </c>
      <c r="E92" s="68" t="s">
        <v>256</v>
      </c>
      <c r="F92" s="43" t="s">
        <v>96</v>
      </c>
      <c r="G92" s="41" t="s">
        <v>94</v>
      </c>
      <c r="H92" s="41" t="s">
        <v>95</v>
      </c>
      <c r="I92" s="41" t="s">
        <v>101</v>
      </c>
      <c r="J92" s="32" t="str" cm="1">
        <f t="array" ref="J92">_xlfn.LET(
  _xlpm.mapL, منابع!$H$11:$H$15,
  _xlpm.mapN, منابع!$I$11:$I$15,
  _xlpm.C, _xlfn.XLOOKUP(F92,_xlpm.mapL,_xlpm.mapN,""),
  _xlpm.G, _xlfn.XLOOKUP(G92,_xlpm.mapL,_xlpm.mapN,""),
  _xlpm.S, _xlfn.XLOOKUP(H92,_xlpm.mapL,_xlpm.mapN,""),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92" s="69" t="s">
        <v>323</v>
      </c>
    </row>
    <row r="93" spans="1:11">
      <c r="A93" s="40">
        <v>91</v>
      </c>
      <c r="B93" s="41" t="s">
        <v>244</v>
      </c>
      <c r="C93" s="42">
        <v>0.54374999999999996</v>
      </c>
      <c r="D93" s="43" t="s">
        <v>122</v>
      </c>
      <c r="E93" s="69" t="s">
        <v>322</v>
      </c>
      <c r="F93" s="43" t="s">
        <v>95</v>
      </c>
      <c r="G93" s="41" t="s">
        <v>95</v>
      </c>
      <c r="H93" s="41" t="s">
        <v>96</v>
      </c>
      <c r="I93" s="41" t="s">
        <v>101</v>
      </c>
      <c r="J93" s="32" t="str" cm="1">
        <f t="array" ref="J93">_xlfn.LET(
  _xlpm.mapL, منابع!$H$11:$H$15,
  _xlpm.mapN, منابع!$I$11:$I$15,
  _xlpm.C, _xlfn.XLOOKUP(F93,_xlpm.mapL,_xlpm.mapN,""),
  _xlpm.G, _xlfn.XLOOKUP(G93,_xlpm.mapL,_xlpm.mapN,""),
  _xlpm.S, _xlfn.XLOOKUP(H93,_xlpm.mapL,_xlpm.mapN,""),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93" s="69" t="s">
        <v>321</v>
      </c>
    </row>
    <row r="94" spans="1:11">
      <c r="A94" s="40">
        <v>92</v>
      </c>
      <c r="B94" s="41" t="s">
        <v>244</v>
      </c>
      <c r="C94" s="42">
        <v>0.55972222222222223</v>
      </c>
      <c r="D94" s="43" t="s">
        <v>122</v>
      </c>
      <c r="E94" s="68" t="s">
        <v>320</v>
      </c>
      <c r="F94" s="43" t="s">
        <v>96</v>
      </c>
      <c r="G94" s="41" t="s">
        <v>95</v>
      </c>
      <c r="H94" s="41" t="s">
        <v>96</v>
      </c>
      <c r="I94" s="41" t="s">
        <v>101</v>
      </c>
      <c r="J94" s="32" t="str" cm="1">
        <f t="array" ref="J94">_xlfn.LET(
  _xlpm.mapL, منابع!$H$11:$H$15,
  _xlpm.mapN, منابع!$I$11:$I$15,
  _xlpm.C, _xlfn.XLOOKUP(F94,_xlpm.mapL,_xlpm.mapN,""),
  _xlpm.G, _xlfn.XLOOKUP(G94,_xlpm.mapL,_xlpm.mapN,""),
  _xlpm.S, _xlfn.XLOOKUP(H94,_xlpm.mapL,_xlpm.mapN,""),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94" s="69" t="s">
        <v>319</v>
      </c>
    </row>
    <row r="95" spans="1:11">
      <c r="A95" s="40">
        <v>93</v>
      </c>
      <c r="B95" s="41" t="s">
        <v>244</v>
      </c>
      <c r="C95" s="42">
        <v>0.56388888888888888</v>
      </c>
      <c r="D95" s="43" t="s">
        <v>122</v>
      </c>
      <c r="E95" s="68" t="s">
        <v>318</v>
      </c>
      <c r="F95" s="43" t="s">
        <v>96</v>
      </c>
      <c r="G95" s="41" t="s">
        <v>94</v>
      </c>
      <c r="H95" s="41" t="s">
        <v>95</v>
      </c>
      <c r="I95" s="41" t="s">
        <v>101</v>
      </c>
      <c r="J95" s="32" t="str" cm="1">
        <f t="array" ref="J95">_xlfn.LET(
  _xlpm.mapL, منابع!$H$11:$H$15,
  _xlpm.mapN, منابع!$I$11:$I$15,
  _xlpm.C, _xlfn.XLOOKUP(F95,_xlpm.mapL,_xlpm.mapN,""),
  _xlpm.G, _xlfn.XLOOKUP(G95,_xlpm.mapL,_xlpm.mapN,""),
  _xlpm.S, _xlfn.XLOOKUP(H95,_xlpm.mapL,_xlpm.mapN,""),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95" s="69" t="s">
        <v>317</v>
      </c>
    </row>
    <row r="96" spans="1:11">
      <c r="A96" s="40">
        <v>94</v>
      </c>
      <c r="B96" s="41" t="s">
        <v>244</v>
      </c>
      <c r="C96" s="42">
        <v>0.56388888888888888</v>
      </c>
      <c r="D96" s="43" t="s">
        <v>122</v>
      </c>
      <c r="E96" s="68" t="s">
        <v>316</v>
      </c>
      <c r="F96" s="43" t="s">
        <v>95</v>
      </c>
      <c r="G96" s="41" t="s">
        <v>96</v>
      </c>
      <c r="H96" s="41" t="s">
        <v>94</v>
      </c>
      <c r="I96" s="41" t="s">
        <v>86</v>
      </c>
      <c r="J96" s="32" t="str" cm="1">
        <f t="array" ref="J96">_xlfn.LET(
  _xlpm.mapL, منابع!$H$11:$H$15,
  _xlpm.mapN, منابع!$I$11:$I$15,
  _xlpm.C, _xlfn.XLOOKUP(F96,_xlpm.mapL,_xlpm.mapN,""),
  _xlpm.G, _xlfn.XLOOKUP(G96,_xlpm.mapL,_xlpm.mapN,""),
  _xlpm.S, _xlfn.XLOOKUP(H96,_xlpm.mapL,_xlpm.mapN,""),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96" s="69" t="s">
        <v>315</v>
      </c>
    </row>
    <row r="97" spans="1:11">
      <c r="A97" s="40">
        <v>95</v>
      </c>
      <c r="B97" s="41" t="s">
        <v>244</v>
      </c>
      <c r="C97" s="42">
        <v>0.58611111111111114</v>
      </c>
      <c r="D97" s="43" t="s">
        <v>122</v>
      </c>
      <c r="E97" s="68" t="s">
        <v>314</v>
      </c>
      <c r="F97" s="43" t="s">
        <v>96</v>
      </c>
      <c r="G97" s="41" t="s">
        <v>96</v>
      </c>
      <c r="H97" s="41" t="s">
        <v>94</v>
      </c>
      <c r="I97" s="41" t="s">
        <v>86</v>
      </c>
      <c r="J97" s="32" t="str" cm="1">
        <f t="array" ref="J97">_xlfn.LET(
  _xlpm.mapL, منابع!$H$11:$H$15,
  _xlpm.mapN, منابع!$I$11:$I$15,
  _xlpm.C, _xlfn.XLOOKUP(F97,_xlpm.mapL,_xlpm.mapN,""),
  _xlpm.G, _xlfn.XLOOKUP(G97,_xlpm.mapL,_xlpm.mapN,""),
  _xlpm.S, _xlfn.XLOOKUP(H97,_xlpm.mapL,_xlpm.mapN,""),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97" s="69" t="s">
        <v>313</v>
      </c>
    </row>
    <row r="98" spans="1:11">
      <c r="A98" s="40">
        <v>96</v>
      </c>
      <c r="B98" s="41" t="s">
        <v>244</v>
      </c>
      <c r="C98" s="42">
        <v>0.58680555555555558</v>
      </c>
      <c r="D98" s="43" t="s">
        <v>122</v>
      </c>
      <c r="E98" s="68" t="s">
        <v>312</v>
      </c>
      <c r="F98" s="43" t="s">
        <v>95</v>
      </c>
      <c r="G98" s="41" t="s">
        <v>94</v>
      </c>
      <c r="H98" s="41" t="s">
        <v>96</v>
      </c>
      <c r="I98" s="41" t="s">
        <v>101</v>
      </c>
      <c r="J98" s="32" t="str" cm="1">
        <f t="array" ref="J98">_xlfn.LET(
  _xlpm.mapL, منابع!$H$11:$H$15,
  _xlpm.mapN, منابع!$I$11:$I$15,
  _xlpm.C, _xlfn.XLOOKUP(F98,_xlpm.mapL,_xlpm.mapN,""),
  _xlpm.G, _xlfn.XLOOKUP(G98,_xlpm.mapL,_xlpm.mapN,""),
  _xlpm.S, _xlfn.XLOOKUP(H98,_xlpm.mapL,_xlpm.mapN,""),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98" s="69" t="s">
        <v>311</v>
      </c>
    </row>
    <row r="99" spans="1:11">
      <c r="A99" s="40">
        <v>97</v>
      </c>
      <c r="B99" s="41" t="s">
        <v>244</v>
      </c>
      <c r="C99" s="42">
        <v>0.59513888888888888</v>
      </c>
      <c r="D99" s="43" t="s">
        <v>122</v>
      </c>
      <c r="E99" s="68" t="s">
        <v>310</v>
      </c>
      <c r="F99" s="43" t="s">
        <v>95</v>
      </c>
      <c r="G99" s="41" t="s">
        <v>94</v>
      </c>
      <c r="H99" s="41" t="s">
        <v>95</v>
      </c>
      <c r="I99" s="41" t="s">
        <v>101</v>
      </c>
      <c r="J99" s="32" t="str" cm="1">
        <f t="array" ref="J99">_xlfn.LET(
  _xlpm.mapL, منابع!$H$11:$H$15,
  _xlpm.mapN, منابع!$I$11:$I$15,
  _xlpm.C, _xlfn.XLOOKUP(F99,_xlpm.mapL,_xlpm.mapN,""),
  _xlpm.G, _xlfn.XLOOKUP(G99,_xlpm.mapL,_xlpm.mapN,""),
  _xlpm.S, _xlfn.XLOOKUP(H99,_xlpm.mapL,_xlpm.mapN,""),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99" s="69" t="s">
        <v>309</v>
      </c>
    </row>
    <row r="100" spans="1:11">
      <c r="A100" s="40">
        <v>98</v>
      </c>
      <c r="B100" s="41" t="s">
        <v>244</v>
      </c>
      <c r="C100" s="42">
        <v>0.60347222222222219</v>
      </c>
      <c r="D100" s="47" t="s">
        <v>122</v>
      </c>
      <c r="E100" s="68" t="s">
        <v>308</v>
      </c>
      <c r="F100" s="43" t="s">
        <v>95</v>
      </c>
      <c r="G100" s="41" t="s">
        <v>94</v>
      </c>
      <c r="H100" s="41" t="s">
        <v>95</v>
      </c>
      <c r="I100" s="41" t="s">
        <v>86</v>
      </c>
      <c r="J100" s="32" t="str" cm="1">
        <f t="array" ref="J100">_xlfn.LET(
  _xlpm.mapL, منابع!$H$11:$H$15,
  _xlpm.mapN, منابع!$I$11:$I$15,
  _xlpm.C, _xlfn.XLOOKUP(F100,_xlpm.mapL,_xlpm.mapN,""),
  _xlpm.G, _xlfn.XLOOKUP(G100,_xlpm.mapL,_xlpm.mapN,""),
  _xlpm.S, _xlfn.XLOOKUP(H100,_xlpm.mapL,_xlpm.mapN,""),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00" s="69" t="s">
        <v>307</v>
      </c>
    </row>
    <row r="101" spans="1:11">
      <c r="A101" s="51">
        <v>99</v>
      </c>
      <c r="B101" s="41" t="s">
        <v>244</v>
      </c>
      <c r="C101" s="52">
        <v>0.66527777777777775</v>
      </c>
      <c r="D101" s="53" t="s">
        <v>122</v>
      </c>
      <c r="E101" s="68" t="s">
        <v>306</v>
      </c>
      <c r="F101" s="43" t="s">
        <v>96</v>
      </c>
      <c r="G101" s="41" t="s">
        <v>94</v>
      </c>
      <c r="H101" s="41" t="s">
        <v>95</v>
      </c>
      <c r="I101" s="41" t="s">
        <v>86</v>
      </c>
      <c r="J101" s="32" t="str" cm="1">
        <f t="array" ref="J101">_xlfn.LET(
  _xlpm.mapL, منابع!$H$11:$H$15,
  _xlpm.mapN, منابع!$I$11:$I$15,
  _xlpm.C, _xlfn.XLOOKUP(F101,_xlpm.mapL,_xlpm.mapN,""),
  _xlpm.G, _xlfn.XLOOKUP(G101,_xlpm.mapL,_xlpm.mapN,""),
  _xlpm.S, _xlfn.XLOOKUP(H101,_xlpm.mapL,_xlpm.mapN,""),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01" s="69" t="s">
        <v>305</v>
      </c>
    </row>
    <row r="102" spans="1:11">
      <c r="A102" s="40">
        <v>100</v>
      </c>
      <c r="B102" s="41" t="s">
        <v>244</v>
      </c>
      <c r="C102" s="42">
        <v>0.66874999999999996</v>
      </c>
      <c r="D102" s="43" t="s">
        <v>122</v>
      </c>
      <c r="E102" s="68" t="s">
        <v>304</v>
      </c>
      <c r="F102" s="43" t="s">
        <v>96</v>
      </c>
      <c r="G102" s="41" t="s">
        <v>95</v>
      </c>
      <c r="H102" s="41" t="s">
        <v>96</v>
      </c>
      <c r="I102" s="41" t="s">
        <v>88</v>
      </c>
      <c r="J102" s="32" t="str" cm="1">
        <f t="array" ref="J102">_xlfn.LET(
  _xlpm.mapL, منابع!$H$11:$H$15,
  _xlpm.mapN, منابع!$I$11:$I$15,
  _xlpm.C, _xlfn.XLOOKUP(F102,_xlpm.mapL,_xlpm.mapN,""),
  _xlpm.G, _xlfn.XLOOKUP(G102,_xlpm.mapL,_xlpm.mapN,""),
  _xlpm.S, _xlfn.XLOOKUP(H102,_xlpm.mapL,_xlpm.mapN,""),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02" s="69" t="s">
        <v>303</v>
      </c>
    </row>
    <row r="103" spans="1:11">
      <c r="A103" s="40">
        <v>101</v>
      </c>
      <c r="B103" s="41" t="s">
        <v>244</v>
      </c>
      <c r="C103" s="42">
        <v>0.69097222222222221</v>
      </c>
      <c r="D103" s="43" t="s">
        <v>122</v>
      </c>
      <c r="E103" s="68" t="s">
        <v>302</v>
      </c>
      <c r="F103" s="43" t="s">
        <v>96</v>
      </c>
      <c r="G103" s="41" t="s">
        <v>95</v>
      </c>
      <c r="H103" s="41" t="s">
        <v>96</v>
      </c>
      <c r="I103" s="41" t="s">
        <v>87</v>
      </c>
      <c r="J103" s="32" t="str" cm="1">
        <f t="array" ref="J103">_xlfn.LET(
  _xlpm.mapL, منابع!$H$11:$H$15,
  _xlpm.mapN, منابع!$I$11:$I$15,
  _xlpm.C, _xlfn.XLOOKUP(F103,_xlpm.mapL,_xlpm.mapN,""),
  _xlpm.G, _xlfn.XLOOKUP(G103,_xlpm.mapL,_xlpm.mapN,""),
  _xlpm.S, _xlfn.XLOOKUP(H103,_xlpm.mapL,_xlpm.mapN,""),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03" s="41" t="s">
        <v>301</v>
      </c>
    </row>
    <row r="104" spans="1:11">
      <c r="A104" s="40">
        <v>102</v>
      </c>
      <c r="B104" s="41" t="s">
        <v>244</v>
      </c>
      <c r="C104" s="42">
        <v>0.77083333333333337</v>
      </c>
      <c r="D104" s="43" t="s">
        <v>122</v>
      </c>
      <c r="E104" s="68" t="s">
        <v>335</v>
      </c>
      <c r="F104" s="43" t="s">
        <v>96</v>
      </c>
      <c r="G104" s="41" t="s">
        <v>95</v>
      </c>
      <c r="H104" s="41" t="s">
        <v>96</v>
      </c>
      <c r="I104" s="41" t="s">
        <v>88</v>
      </c>
      <c r="J104" s="32" t="str" cm="1">
        <f t="array" ref="J104">_xlfn.LET(
  _xlpm.mapL, منابع!$H$11:$H$15,
  _xlpm.mapN, منابع!$I$11:$I$15,
  _xlpm.C, _xlfn.XLOOKUP(F104,_xlpm.mapL,_xlpm.mapN,""),
  _xlpm.G, _xlfn.XLOOKUP(G104,_xlpm.mapL,_xlpm.mapN,""),
  _xlpm.S, _xlfn.XLOOKUP(H104,_xlpm.mapL,_xlpm.mapN,""),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04" s="69" t="s">
        <v>334</v>
      </c>
    </row>
    <row r="105" spans="1:11">
      <c r="A105" s="40">
        <v>103</v>
      </c>
      <c r="B105" s="41" t="s">
        <v>244</v>
      </c>
      <c r="C105" s="42">
        <v>0.77361111111111114</v>
      </c>
      <c r="D105" s="43" t="s">
        <v>122</v>
      </c>
      <c r="E105" s="71" t="s">
        <v>333</v>
      </c>
      <c r="F105" s="43" t="s">
        <v>95</v>
      </c>
      <c r="G105" s="41" t="s">
        <v>94</v>
      </c>
      <c r="H105" s="41" t="s">
        <v>96</v>
      </c>
      <c r="I105" s="41" t="s">
        <v>101</v>
      </c>
      <c r="J105" s="32" t="str" cm="1">
        <f t="array" ref="J105">_xlfn.LET(
  _xlpm.mapL, منابع!$H$11:$H$15,
  _xlpm.mapN, منابع!$I$11:$I$15,
  _xlpm.C, _xlfn.XLOOKUP(F105,_xlpm.mapL,_xlpm.mapN,""),
  _xlpm.G, _xlfn.XLOOKUP(G105,_xlpm.mapL,_xlpm.mapN,""),
  _xlpm.S, _xlfn.XLOOKUP(H105,_xlpm.mapL,_xlpm.mapN,""),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05" s="69" t="s">
        <v>332</v>
      </c>
    </row>
    <row r="106" spans="1:11">
      <c r="A106" s="40">
        <v>104</v>
      </c>
      <c r="B106" s="41" t="s">
        <v>244</v>
      </c>
      <c r="C106" s="42">
        <v>0.77777777777777779</v>
      </c>
      <c r="D106" s="43" t="s">
        <v>122</v>
      </c>
      <c r="E106" s="70" t="s">
        <v>331</v>
      </c>
      <c r="F106" s="43" t="s">
        <v>95</v>
      </c>
      <c r="G106" s="41" t="s">
        <v>94</v>
      </c>
      <c r="H106" s="41" t="s">
        <v>96</v>
      </c>
      <c r="I106" s="41" t="s">
        <v>101</v>
      </c>
      <c r="J106" s="32" t="str" cm="1">
        <f t="array" ref="J106">_xlfn.LET(
  _xlpm.mapL, منابع!$H$11:$H$15,
  _xlpm.mapN, منابع!$I$11:$I$15,
  _xlpm.C, _xlfn.XLOOKUP(F106,_xlpm.mapL,_xlpm.mapN,""),
  _xlpm.G, _xlfn.XLOOKUP(G106,_xlpm.mapL,_xlpm.mapN,""),
  _xlpm.S, _xlfn.XLOOKUP(H106,_xlpm.mapL,_xlpm.mapN,""),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06" s="69" t="s">
        <v>330</v>
      </c>
    </row>
    <row r="107" spans="1:11">
      <c r="A107" s="40">
        <v>105</v>
      </c>
      <c r="B107" s="41" t="s">
        <v>244</v>
      </c>
      <c r="C107" s="42">
        <v>0.79027777777777775</v>
      </c>
      <c r="D107" s="43" t="s">
        <v>122</v>
      </c>
      <c r="E107" s="71" t="s">
        <v>329</v>
      </c>
      <c r="F107" s="43" t="s">
        <v>96</v>
      </c>
      <c r="G107" s="41" t="s">
        <v>95</v>
      </c>
      <c r="H107" s="41" t="s">
        <v>96</v>
      </c>
      <c r="I107" s="41" t="s">
        <v>101</v>
      </c>
      <c r="J107" s="32" t="str" cm="1">
        <f t="array" ref="J107">_xlfn.LET(
  _xlpm.mapL, منابع!$H$11:$H$15,
  _xlpm.mapN, منابع!$I$11:$I$15,
  _xlpm.C, _xlfn.XLOOKUP(F107,_xlpm.mapL,_xlpm.mapN,""),
  _xlpm.G, _xlfn.XLOOKUP(G107,_xlpm.mapL,_xlpm.mapN,""),
  _xlpm.S, _xlfn.XLOOKUP(H107,_xlpm.mapL,_xlpm.mapN,""),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07" s="69" t="s">
        <v>328</v>
      </c>
    </row>
    <row r="108" spans="1:11">
      <c r="A108" s="40">
        <v>106</v>
      </c>
      <c r="B108" s="41" t="s">
        <v>244</v>
      </c>
      <c r="C108" s="42">
        <v>0.7944444444444444</v>
      </c>
      <c r="D108" s="43" t="s">
        <v>122</v>
      </c>
      <c r="E108" s="71" t="s">
        <v>327</v>
      </c>
      <c r="F108" s="43" t="s">
        <v>96</v>
      </c>
      <c r="G108" s="41" t="s">
        <v>94</v>
      </c>
      <c r="H108" s="41" t="s">
        <v>96</v>
      </c>
      <c r="I108" s="41" t="s">
        <v>101</v>
      </c>
      <c r="J108" s="32" t="str" cm="1">
        <f t="array" ref="J108">_xlfn.LET(
  _xlpm.mapL, منابع!$H$11:$H$15,
  _xlpm.mapN, منابع!$I$11:$I$15,
  _xlpm.C, _xlfn.XLOOKUP(F108,_xlpm.mapL,_xlpm.mapN,""),
  _xlpm.G, _xlfn.XLOOKUP(G108,_xlpm.mapL,_xlpm.mapN,""),
  _xlpm.S, _xlfn.XLOOKUP(H108,_xlpm.mapL,_xlpm.mapN,""),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08" s="69" t="s">
        <v>326</v>
      </c>
    </row>
    <row r="109" spans="1:11">
      <c r="A109" s="40">
        <v>107</v>
      </c>
      <c r="B109" s="41" t="s">
        <v>244</v>
      </c>
      <c r="C109" s="52">
        <v>0.80555555555555558</v>
      </c>
      <c r="D109" s="53" t="s">
        <v>122</v>
      </c>
      <c r="E109" s="71" t="s">
        <v>337</v>
      </c>
      <c r="F109" s="43" t="s">
        <v>96</v>
      </c>
      <c r="G109" s="41" t="s">
        <v>95</v>
      </c>
      <c r="H109" s="41" t="s">
        <v>96</v>
      </c>
      <c r="I109" s="41" t="s">
        <v>87</v>
      </c>
      <c r="J109" s="32" t="str" cm="1">
        <f t="array" ref="J109">_xlfn.LET(
  _xlpm.mapL, منابع!$H$11:$H$15,
  _xlpm.mapN, منابع!$I$11:$I$15,
  _xlpm.C, _xlfn.XLOOKUP(F109,_xlpm.mapL,_xlpm.mapN,""),
  _xlpm.G, _xlfn.XLOOKUP(G109,_xlpm.mapL,_xlpm.mapN,""),
  _xlpm.S, _xlfn.XLOOKUP(H109,_xlpm.mapL,_xlpm.mapN,""),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09" s="69" t="s">
        <v>336</v>
      </c>
    </row>
    <row r="110" spans="1:11">
      <c r="A110" s="40">
        <v>108</v>
      </c>
      <c r="B110" s="41" t="s">
        <v>244</v>
      </c>
      <c r="C110" s="42">
        <v>0.81597222222222221</v>
      </c>
      <c r="D110" s="43" t="s">
        <v>122</v>
      </c>
      <c r="E110" s="70" t="s">
        <v>339</v>
      </c>
      <c r="F110" s="43" t="s">
        <v>96</v>
      </c>
      <c r="G110" s="41" t="s">
        <v>94</v>
      </c>
      <c r="H110" s="41" t="s">
        <v>96</v>
      </c>
      <c r="I110" s="41" t="s">
        <v>88</v>
      </c>
      <c r="J110" s="32" t="str" cm="1">
        <f t="array" ref="J110">_xlfn.LET(
  _xlpm.mapL, منابع!$H$11:$H$15,
  _xlpm.mapN, منابع!$I$11:$I$15,
  _xlpm.C, _xlfn.XLOOKUP(F110,_xlpm.mapL,_xlpm.mapN,""),
  _xlpm.G, _xlfn.XLOOKUP(G110,_xlpm.mapL,_xlpm.mapN,""),
  _xlpm.S, _xlfn.XLOOKUP(H110,_xlpm.mapL,_xlpm.mapN,""),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10" s="69" t="s">
        <v>338</v>
      </c>
    </row>
    <row r="111" spans="1:11">
      <c r="A111" s="40">
        <v>109</v>
      </c>
      <c r="B111" s="41" t="s">
        <v>244</v>
      </c>
      <c r="C111" s="42">
        <v>0.82708333333333328</v>
      </c>
      <c r="D111" s="43" t="s">
        <v>122</v>
      </c>
      <c r="E111" s="70" t="s">
        <v>341</v>
      </c>
      <c r="F111" s="43" t="s">
        <v>95</v>
      </c>
      <c r="G111" s="41" t="s">
        <v>95</v>
      </c>
      <c r="H111" s="41" t="s">
        <v>96</v>
      </c>
      <c r="I111" s="41" t="s">
        <v>87</v>
      </c>
      <c r="J111" s="32" t="str" cm="1">
        <f t="array" ref="J111">_xlfn.LET(
  _xlpm.mapL, منابع!$H$11:$H$15,
  _xlpm.mapN, منابع!$I$11:$I$15,
  _xlpm.C, _xlfn.XLOOKUP(F111,_xlpm.mapL,_xlpm.mapN,""),
  _xlpm.G, _xlfn.XLOOKUP(G111,_xlpm.mapL,_xlpm.mapN,""),
  _xlpm.S, _xlfn.XLOOKUP(H111,_xlpm.mapL,_xlpm.mapN,""),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11" s="69" t="s">
        <v>340</v>
      </c>
    </row>
    <row r="112" spans="1:11">
      <c r="A112" s="40">
        <v>110</v>
      </c>
      <c r="B112" s="41" t="s">
        <v>244</v>
      </c>
      <c r="C112" s="42">
        <v>0.86388888888888893</v>
      </c>
      <c r="D112" s="43" t="s">
        <v>122</v>
      </c>
      <c r="E112" s="68" t="s">
        <v>342</v>
      </c>
      <c r="F112" s="43" t="s">
        <v>96</v>
      </c>
      <c r="G112" s="41" t="s">
        <v>94</v>
      </c>
      <c r="H112" s="41" t="s">
        <v>96</v>
      </c>
      <c r="I112" s="41" t="s">
        <v>88</v>
      </c>
      <c r="J112" s="32" t="str" cm="1">
        <f t="array" ref="J112">_xlfn.LET(
  _xlpm.mapL, منابع!$H$11:$H$15,
  _xlpm.mapN, منابع!$I$11:$I$15,
  _xlpm.C, _xlfn.XLOOKUP(F112,_xlpm.mapL,_xlpm.mapN,""),
  _xlpm.G, _xlfn.XLOOKUP(G112,_xlpm.mapL,_xlpm.mapN,""),
  _xlpm.S, _xlfn.XLOOKUP(H112,_xlpm.mapL,_xlpm.mapN,""),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12" s="69" t="s">
        <v>343</v>
      </c>
    </row>
    <row r="113" spans="1:11">
      <c r="A113" s="40">
        <v>111</v>
      </c>
      <c r="B113" s="41" t="s">
        <v>244</v>
      </c>
      <c r="C113" s="42">
        <v>0.87777777777777777</v>
      </c>
      <c r="D113" s="43" t="s">
        <v>122</v>
      </c>
      <c r="E113" s="68" t="s">
        <v>344</v>
      </c>
      <c r="F113" s="43" t="s">
        <v>96</v>
      </c>
      <c r="G113" s="41" t="s">
        <v>95</v>
      </c>
      <c r="H113" s="41" t="s">
        <v>95</v>
      </c>
      <c r="I113" s="41" t="s">
        <v>86</v>
      </c>
      <c r="J113" s="32" t="str" cm="1">
        <f t="array" ref="J113">_xlfn.LET(
  _xlpm.mapL, منابع!$H$11:$H$15,
  _xlpm.mapN, منابع!$I$11:$I$15,
  _xlpm.C, _xlfn.XLOOKUP(F113,_xlpm.mapL,_xlpm.mapN,""),
  _xlpm.G, _xlfn.XLOOKUP(G113,_xlpm.mapL,_xlpm.mapN,""),
  _xlpm.S, _xlfn.XLOOKUP(H113,_xlpm.mapL,_xlpm.mapN,""),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13" s="69" t="s">
        <v>345</v>
      </c>
    </row>
    <row r="114" spans="1:11">
      <c r="A114" s="40">
        <v>112</v>
      </c>
      <c r="B114" s="41" t="s">
        <v>244</v>
      </c>
      <c r="C114" s="42">
        <v>0.89166666666666672</v>
      </c>
      <c r="D114" s="43" t="s">
        <v>122</v>
      </c>
      <c r="E114" s="68" t="s">
        <v>346</v>
      </c>
      <c r="F114" s="43" t="s">
        <v>96</v>
      </c>
      <c r="G114" s="41" t="s">
        <v>94</v>
      </c>
      <c r="H114" s="41" t="s">
        <v>96</v>
      </c>
      <c r="I114" s="41" t="s">
        <v>101</v>
      </c>
      <c r="J114" s="32" t="str" cm="1">
        <f t="array" ref="J114">_xlfn.LET(
  _xlpm.mapL, منابع!$H$11:$H$15,
  _xlpm.mapN, منابع!$I$11:$I$15,
  _xlpm.C, _xlfn.XLOOKUP(F114,_xlpm.mapL,_xlpm.mapN,""),
  _xlpm.G, _xlfn.XLOOKUP(G114,_xlpm.mapL,_xlpm.mapN,""),
  _xlpm.S, _xlfn.XLOOKUP(H114,_xlpm.mapL,_xlpm.mapN,""),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14" s="69" t="s">
        <v>347</v>
      </c>
    </row>
    <row r="115" spans="1:11">
      <c r="A115" s="40">
        <v>113</v>
      </c>
      <c r="B115" s="41" t="s">
        <v>244</v>
      </c>
      <c r="C115" s="42">
        <v>0.89444444444444449</v>
      </c>
      <c r="D115" s="43" t="s">
        <v>122</v>
      </c>
      <c r="E115" s="68" t="s">
        <v>348</v>
      </c>
      <c r="F115" s="43" t="s">
        <v>96</v>
      </c>
      <c r="G115" s="41" t="s">
        <v>95</v>
      </c>
      <c r="H115" s="41" t="s">
        <v>96</v>
      </c>
      <c r="I115" s="41" t="s">
        <v>101</v>
      </c>
      <c r="J115" s="32" t="str" cm="1">
        <f t="array" ref="J115">_xlfn.LET(
  _xlpm.mapL, منابع!$H$11:$H$15,
  _xlpm.mapN, منابع!$I$11:$I$15,
  _xlpm.C, _xlfn.XLOOKUP(F115,_xlpm.mapL,_xlpm.mapN,""),
  _xlpm.G, _xlfn.XLOOKUP(G115,_xlpm.mapL,_xlpm.mapN,""),
  _xlpm.S, _xlfn.XLOOKUP(H115,_xlpm.mapL,_xlpm.mapN,""),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15" s="69" t="s">
        <v>349</v>
      </c>
    </row>
    <row r="116" spans="1:11">
      <c r="A116" s="40">
        <v>114</v>
      </c>
      <c r="B116" s="41" t="s">
        <v>244</v>
      </c>
      <c r="C116" s="42">
        <v>0.90208333333333335</v>
      </c>
      <c r="D116" s="43" t="s">
        <v>122</v>
      </c>
      <c r="E116" s="68" t="s">
        <v>353</v>
      </c>
      <c r="F116" s="43" t="s">
        <v>95</v>
      </c>
      <c r="G116" s="41" t="s">
        <v>94</v>
      </c>
      <c r="H116" s="41" t="s">
        <v>96</v>
      </c>
      <c r="I116" s="41" t="s">
        <v>88</v>
      </c>
      <c r="J116" s="32" t="str" cm="1">
        <f t="array" ref="J116">_xlfn.LET(
  _xlpm.mapL, منابع!$H$11:$H$15,
  _xlpm.mapN, منابع!$I$11:$I$15,
  _xlpm.C, _xlfn.XLOOKUP(F116,_xlpm.mapL,_xlpm.mapN,""),
  _xlpm.G, _xlfn.XLOOKUP(G116,_xlpm.mapL,_xlpm.mapN,""),
  _xlpm.S, _xlfn.XLOOKUP(H116,_xlpm.mapL,_xlpm.mapN,""),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16" s="69" t="s">
        <v>352</v>
      </c>
    </row>
    <row r="117" spans="1:11">
      <c r="A117" s="40">
        <v>115</v>
      </c>
      <c r="B117" s="41" t="s">
        <v>244</v>
      </c>
      <c r="C117" s="52">
        <v>0.92500000000000004</v>
      </c>
      <c r="D117" s="53" t="s">
        <v>122</v>
      </c>
      <c r="E117" s="68" t="s">
        <v>351</v>
      </c>
      <c r="F117" s="43" t="s">
        <v>96</v>
      </c>
      <c r="G117" s="41" t="s">
        <v>94</v>
      </c>
      <c r="H117" s="41" t="s">
        <v>96</v>
      </c>
      <c r="I117" s="41" t="s">
        <v>101</v>
      </c>
      <c r="J117" s="32" t="str" cm="1">
        <f t="array" ref="J117">_xlfn.LET(
  _xlpm.mapL, منابع!$H$11:$H$15,
  _xlpm.mapN, منابع!$I$11:$I$15,
  _xlpm.C, _xlfn.XLOOKUP(F117,_xlpm.mapL,_xlpm.mapN,""),
  _xlpm.G, _xlfn.XLOOKUP(G117,_xlpm.mapL,_xlpm.mapN,""),
  _xlpm.S, _xlfn.XLOOKUP(H117,_xlpm.mapL,_xlpm.mapN,""),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17" s="69" t="s">
        <v>350</v>
      </c>
    </row>
    <row r="118" spans="1:11">
      <c r="A118" s="40">
        <v>116</v>
      </c>
      <c r="B118" s="41" t="s">
        <v>244</v>
      </c>
      <c r="C118" s="42">
        <v>0.93125000000000002</v>
      </c>
      <c r="D118" s="47" t="s">
        <v>122</v>
      </c>
      <c r="E118" s="68" t="s">
        <v>355</v>
      </c>
      <c r="F118" s="43" t="s">
        <v>96</v>
      </c>
      <c r="G118" s="41" t="s">
        <v>95</v>
      </c>
      <c r="H118" s="41" t="s">
        <v>96</v>
      </c>
      <c r="I118" s="41" t="s">
        <v>101</v>
      </c>
      <c r="J118" s="32" t="str" cm="1">
        <f t="array" ref="J118">_xlfn.LET(
  _xlpm.mapL, منابع!$H$11:$H$15,
  _xlpm.mapN, منابع!$I$11:$I$15,
  _xlpm.C, _xlfn.XLOOKUP(F118,_xlpm.mapL,_xlpm.mapN,""),
  _xlpm.G, _xlfn.XLOOKUP(G118,_xlpm.mapL,_xlpm.mapN,""),
  _xlpm.S, _xlfn.XLOOKUP(H118,_xlpm.mapL,_xlpm.mapN,""),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18" s="69" t="s">
        <v>354</v>
      </c>
    </row>
    <row r="119" spans="1:11">
      <c r="A119" s="40">
        <v>117</v>
      </c>
      <c r="B119" s="41" t="s">
        <v>244</v>
      </c>
      <c r="C119" s="42">
        <v>0.96319444444444446</v>
      </c>
      <c r="D119" s="43" t="s">
        <v>122</v>
      </c>
      <c r="E119" s="68" t="s">
        <v>356</v>
      </c>
      <c r="F119" s="43" t="s">
        <v>95</v>
      </c>
      <c r="G119" s="41" t="s">
        <v>95</v>
      </c>
      <c r="H119" s="41" t="s">
        <v>95</v>
      </c>
      <c r="I119" s="41" t="s">
        <v>87</v>
      </c>
      <c r="J119" s="32" t="str" cm="1">
        <f t="array" ref="J119">_xlfn.LET(
  _xlpm.mapL, منابع!$H$11:$H$15,
  _xlpm.mapN, منابع!$I$11:$I$15,
  _xlpm.C, _xlfn.XLOOKUP(F119,_xlpm.mapL,_xlpm.mapN,""),
  _xlpm.G, _xlfn.XLOOKUP(G119,_xlpm.mapL,_xlpm.mapN,""),
  _xlpm.S, _xlfn.XLOOKUP(H119,_xlpm.mapL,_xlpm.mapN,""),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19" s="69" t="s">
        <v>357</v>
      </c>
    </row>
    <row r="120" spans="1:11">
      <c r="A120" s="40">
        <v>118</v>
      </c>
      <c r="B120" s="41" t="s">
        <v>244</v>
      </c>
      <c r="C120" s="42">
        <v>0.97361111111111109</v>
      </c>
      <c r="D120" s="43" t="s">
        <v>122</v>
      </c>
      <c r="E120" s="68" t="s">
        <v>358</v>
      </c>
      <c r="F120" s="43" t="s">
        <v>96</v>
      </c>
      <c r="G120" s="41" t="s">
        <v>94</v>
      </c>
      <c r="H120" s="41" t="s">
        <v>96</v>
      </c>
      <c r="I120" s="41" t="s">
        <v>88</v>
      </c>
      <c r="J120" s="32" t="str" cm="1">
        <f t="array" ref="J120">_xlfn.LET(
  _xlpm.mapL, منابع!$H$11:$H$15,
  _xlpm.mapN, منابع!$I$11:$I$15,
  _xlpm.C, _xlfn.XLOOKUP(F120,_xlpm.mapL,_xlpm.mapN,""),
  _xlpm.G, _xlfn.XLOOKUP(G120,_xlpm.mapL,_xlpm.mapN,""),
  _xlpm.S, _xlfn.XLOOKUP(H120,_xlpm.mapL,_xlpm.mapN,""),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20" s="69" t="s">
        <v>359</v>
      </c>
    </row>
    <row r="121" spans="1:11">
      <c r="A121" s="40">
        <v>119</v>
      </c>
      <c r="B121" s="41" t="s">
        <v>244</v>
      </c>
      <c r="C121" s="42">
        <v>0.97847222222222219</v>
      </c>
      <c r="D121" s="43" t="s">
        <v>122</v>
      </c>
      <c r="E121" s="68" t="s">
        <v>360</v>
      </c>
      <c r="F121" s="43" t="s">
        <v>96</v>
      </c>
      <c r="G121" s="41" t="s">
        <v>94</v>
      </c>
      <c r="H121" s="41" t="s">
        <v>96</v>
      </c>
      <c r="I121" s="41" t="s">
        <v>88</v>
      </c>
      <c r="J121" s="32" t="str" cm="1">
        <f t="array" ref="J121">_xlfn.LET(
  _xlpm.mapL, منابع!$H$11:$H$15,
  _xlpm.mapN, منابع!$I$11:$I$15,
  _xlpm.C, _xlfn.XLOOKUP(F121,_xlpm.mapL,_xlpm.mapN,""),
  _xlpm.G, _xlfn.XLOOKUP(G121,_xlpm.mapL,_xlpm.mapN,""),
  _xlpm.S, _xlfn.XLOOKUP(H121,_xlpm.mapL,_xlpm.mapN,""),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21" s="69" t="s">
        <v>361</v>
      </c>
    </row>
    <row r="122" spans="1:11">
      <c r="A122" s="40">
        <v>120</v>
      </c>
      <c r="B122" s="41" t="s">
        <v>244</v>
      </c>
      <c r="C122" s="42">
        <v>0.97986111111111107</v>
      </c>
      <c r="D122" s="47" t="s">
        <v>122</v>
      </c>
      <c r="E122" s="68" t="s">
        <v>362</v>
      </c>
      <c r="F122" s="43" t="s">
        <v>95</v>
      </c>
      <c r="G122" s="41" t="s">
        <v>95</v>
      </c>
      <c r="H122" s="41" t="s">
        <v>96</v>
      </c>
      <c r="I122" s="41" t="s">
        <v>101</v>
      </c>
      <c r="J122" s="32" t="str" cm="1">
        <f t="array" ref="J122">_xlfn.LET(
  _xlpm.mapL, منابع!$H$11:$H$15,
  _xlpm.mapN, منابع!$I$11:$I$15,
  _xlpm.C, _xlfn.XLOOKUP(F122,_xlpm.mapL,_xlpm.mapN,""),
  _xlpm.G, _xlfn.XLOOKUP(G122,_xlpm.mapL,_xlpm.mapN,""),
  _xlpm.S, _xlfn.XLOOKUP(H122,_xlpm.mapL,_xlpm.mapN,""),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22" s="69" t="s">
        <v>363</v>
      </c>
    </row>
    <row r="123" spans="1:11">
      <c r="A123" s="40">
        <v>121</v>
      </c>
      <c r="B123" s="41" t="s">
        <v>364</v>
      </c>
      <c r="C123" s="42">
        <v>4.8611111111111112E-3</v>
      </c>
      <c r="D123" s="43" t="s">
        <v>122</v>
      </c>
      <c r="E123" s="68" t="s">
        <v>365</v>
      </c>
      <c r="F123" s="43" t="s">
        <v>96</v>
      </c>
      <c r="G123" s="41" t="s">
        <v>96</v>
      </c>
      <c r="H123" s="41" t="s">
        <v>95</v>
      </c>
      <c r="I123" s="41" t="s">
        <v>101</v>
      </c>
      <c r="J123" s="32" t="str" cm="1">
        <f t="array" ref="J123">_xlfn.LET(
  _xlpm.mapL, منابع!$H$11:$H$15,
  _xlpm.mapN, منابع!$I$11:$I$15,
  _xlpm.C, _xlfn.XLOOKUP(F123,_xlpm.mapL,_xlpm.mapN,""),
  _xlpm.G, _xlfn.XLOOKUP(G123,_xlpm.mapL,_xlpm.mapN,""),
  _xlpm.S, _xlfn.XLOOKUP(H123,_xlpm.mapL,_xlpm.mapN,""),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23" s="69" t="s">
        <v>366</v>
      </c>
    </row>
    <row r="124" spans="1:11">
      <c r="A124" s="40">
        <v>122</v>
      </c>
      <c r="B124" s="41" t="s">
        <v>364</v>
      </c>
      <c r="C124" s="42">
        <v>1.7361111111111112E-2</v>
      </c>
      <c r="D124" s="43" t="s">
        <v>122</v>
      </c>
      <c r="E124" s="68" t="s">
        <v>367</v>
      </c>
      <c r="F124" s="43" t="s">
        <v>96</v>
      </c>
      <c r="G124" s="41" t="s">
        <v>96</v>
      </c>
      <c r="H124" s="41" t="s">
        <v>96</v>
      </c>
      <c r="I124" s="41" t="s">
        <v>86</v>
      </c>
      <c r="J124" s="32" t="str" cm="1">
        <f t="array" ref="J124">_xlfn.LET(
  _xlpm.mapL, منابع!$H$11:$H$15,
  _xlpm.mapN, منابع!$I$11:$I$15,
  _xlpm.C, _xlfn.XLOOKUP(F124,_xlpm.mapL,_xlpm.mapN,""),
  _xlpm.G, _xlfn.XLOOKUP(G124,_xlpm.mapL,_xlpm.mapN,""),
  _xlpm.S, _xlfn.XLOOKUP(H124,_xlpm.mapL,_xlpm.mapN,""),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24" s="69" t="s">
        <v>368</v>
      </c>
    </row>
    <row r="125" spans="1:11">
      <c r="A125" s="40">
        <v>123</v>
      </c>
      <c r="B125" s="41" t="s">
        <v>364</v>
      </c>
      <c r="C125" s="52">
        <v>4.5138888888888888E-2</v>
      </c>
      <c r="D125" s="53" t="s">
        <v>122</v>
      </c>
      <c r="E125" s="68" t="s">
        <v>369</v>
      </c>
      <c r="F125" s="43" t="s">
        <v>95</v>
      </c>
      <c r="G125" s="41" t="s">
        <v>94</v>
      </c>
      <c r="H125" s="41" t="s">
        <v>96</v>
      </c>
      <c r="I125" s="41" t="s">
        <v>101</v>
      </c>
      <c r="J125" s="32" t="str" cm="1">
        <f t="array" ref="J125">_xlfn.LET(
  _xlpm.mapL, منابع!$H$11:$H$15,
  _xlpm.mapN, منابع!$I$11:$I$15,
  _xlpm.C, _xlfn.XLOOKUP(F125,_xlpm.mapL,_xlpm.mapN,""),
  _xlpm.G, _xlfn.XLOOKUP(G125,_xlpm.mapL,_xlpm.mapN,""),
  _xlpm.S, _xlfn.XLOOKUP(H125,_xlpm.mapL,_xlpm.mapN,""),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25" s="69" t="s">
        <v>370</v>
      </c>
    </row>
    <row r="126" spans="1:11">
      <c r="A126" s="40">
        <v>124</v>
      </c>
      <c r="B126" s="41" t="s">
        <v>364</v>
      </c>
      <c r="C126" s="42">
        <v>6.805555555555555E-2</v>
      </c>
      <c r="D126" s="54" t="s">
        <v>122</v>
      </c>
      <c r="E126" s="70" t="s">
        <v>371</v>
      </c>
      <c r="F126" s="43" t="s">
        <v>96</v>
      </c>
      <c r="G126" s="41" t="s">
        <v>95</v>
      </c>
      <c r="H126" s="41" t="s">
        <v>96</v>
      </c>
      <c r="I126" s="41" t="s">
        <v>101</v>
      </c>
      <c r="J126" s="32" t="str" cm="1">
        <f t="array" ref="J126">_xlfn.LET(
  _xlpm.mapL, منابع!$H$11:$H$15,
  _xlpm.mapN, منابع!$I$11:$I$15,
  _xlpm.C, _xlfn.XLOOKUP(F126,_xlpm.mapL,_xlpm.mapN,""),
  _xlpm.G, _xlfn.XLOOKUP(G126,_xlpm.mapL,_xlpm.mapN,""),
  _xlpm.S, _xlfn.XLOOKUP(H126,_xlpm.mapL,_xlpm.mapN,""),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26" s="69" t="s">
        <v>372</v>
      </c>
    </row>
    <row r="127" spans="1:11">
      <c r="A127" s="40">
        <v>125</v>
      </c>
      <c r="B127" s="41" t="s">
        <v>364</v>
      </c>
      <c r="C127" s="42">
        <v>9.2361111111111116E-2</v>
      </c>
      <c r="D127" s="43" t="s">
        <v>122</v>
      </c>
      <c r="E127" s="70" t="s">
        <v>373</v>
      </c>
      <c r="F127" s="43" t="s">
        <v>96</v>
      </c>
      <c r="G127" s="41" t="s">
        <v>94</v>
      </c>
      <c r="H127" s="41" t="s">
        <v>96</v>
      </c>
      <c r="I127" s="41" t="s">
        <v>101</v>
      </c>
      <c r="J127" s="32" t="str" cm="1">
        <f t="array" ref="J127">_xlfn.LET(
  _xlpm.mapL, منابع!$H$11:$H$15,
  _xlpm.mapN, منابع!$I$11:$I$15,
  _xlpm.C, _xlfn.XLOOKUP(F127,_xlpm.mapL,_xlpm.mapN,""),
  _xlpm.G, _xlfn.XLOOKUP(G127,_xlpm.mapL,_xlpm.mapN,""),
  _xlpm.S, _xlfn.XLOOKUP(H127,_xlpm.mapL,_xlpm.mapN,""),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27" s="69" t="s">
        <v>374</v>
      </c>
    </row>
    <row r="128" spans="1:11">
      <c r="A128" s="40">
        <v>126</v>
      </c>
      <c r="B128" s="41" t="s">
        <v>364</v>
      </c>
      <c r="C128" s="42">
        <v>9.7916666666666666E-2</v>
      </c>
      <c r="D128" s="43" t="s">
        <v>122</v>
      </c>
      <c r="E128" s="70" t="s">
        <v>375</v>
      </c>
      <c r="F128" s="43" t="s">
        <v>96</v>
      </c>
      <c r="G128" s="41" t="s">
        <v>95</v>
      </c>
      <c r="H128" s="41" t="s">
        <v>96</v>
      </c>
      <c r="I128" s="41" t="s">
        <v>86</v>
      </c>
      <c r="J128" s="32" t="str" cm="1">
        <f t="array" ref="J128">_xlfn.LET(
  _xlpm.mapL, منابع!$H$11:$H$15,
  _xlpm.mapN, منابع!$I$11:$I$15,
  _xlpm.C, _xlfn.XLOOKUP(F128,_xlpm.mapL,_xlpm.mapN,""),
  _xlpm.G, _xlfn.XLOOKUP(G128,_xlpm.mapL,_xlpm.mapN,""),
  _xlpm.S, _xlfn.XLOOKUP(H128,_xlpm.mapL,_xlpm.mapN,""),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28" s="69" t="s">
        <v>376</v>
      </c>
    </row>
    <row r="129" spans="1:11">
      <c r="A129" s="40">
        <v>127</v>
      </c>
      <c r="B129" s="41" t="s">
        <v>364</v>
      </c>
      <c r="C129" s="42">
        <v>0.10138888888888889</v>
      </c>
      <c r="D129" s="43" t="s">
        <v>122</v>
      </c>
      <c r="E129" s="68" t="s">
        <v>377</v>
      </c>
      <c r="F129" s="43" t="s">
        <v>96</v>
      </c>
      <c r="G129" s="41" t="s">
        <v>94</v>
      </c>
      <c r="H129" s="41" t="s">
        <v>96</v>
      </c>
      <c r="I129" s="41" t="s">
        <v>101</v>
      </c>
      <c r="J129" s="32" t="str" cm="1">
        <f t="array" ref="J129">_xlfn.LET(
  _xlpm.mapL, منابع!$H$11:$H$15,
  _xlpm.mapN, منابع!$I$11:$I$15,
  _xlpm.C, _xlfn.XLOOKUP(F129,_xlpm.mapL,_xlpm.mapN,""),
  _xlpm.G, _xlfn.XLOOKUP(G129,_xlpm.mapL,_xlpm.mapN,""),
  _xlpm.S, _xlfn.XLOOKUP(H129,_xlpm.mapL,_xlpm.mapN,""),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29" s="69" t="s">
        <v>378</v>
      </c>
    </row>
    <row r="130" spans="1:11">
      <c r="A130" s="40">
        <v>128</v>
      </c>
      <c r="B130" s="41" t="s">
        <v>364</v>
      </c>
      <c r="C130" s="42">
        <v>0.1125</v>
      </c>
      <c r="D130" s="43" t="s">
        <v>122</v>
      </c>
      <c r="E130" s="68" t="s">
        <v>396</v>
      </c>
      <c r="F130" s="43" t="s">
        <v>95</v>
      </c>
      <c r="G130" s="41" t="s">
        <v>95</v>
      </c>
      <c r="H130" s="41" t="s">
        <v>96</v>
      </c>
      <c r="I130" s="41" t="s">
        <v>87</v>
      </c>
      <c r="J130" s="32" t="str" cm="1">
        <f t="array" ref="J130">_xlfn.LET(
  _xlpm.mapL, منابع!$H$11:$H$15,
  _xlpm.mapN, منابع!$I$11:$I$15,
  _xlpm.C, _xlfn.XLOOKUP(F130,_xlpm.mapL,_xlpm.mapN,""),
  _xlpm.G, _xlfn.XLOOKUP(G130,_xlpm.mapL,_xlpm.mapN,""),
  _xlpm.S, _xlfn.XLOOKUP(H130,_xlpm.mapL,_xlpm.mapN,""),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30" s="69" t="s">
        <v>395</v>
      </c>
    </row>
    <row r="131" spans="1:11">
      <c r="A131" s="40">
        <v>129</v>
      </c>
      <c r="B131" s="41" t="s">
        <v>364</v>
      </c>
      <c r="C131" s="42">
        <v>0.11944444444444445</v>
      </c>
      <c r="D131" s="43" t="s">
        <v>122</v>
      </c>
      <c r="E131" s="68" t="s">
        <v>394</v>
      </c>
      <c r="F131" s="43" t="s">
        <v>96</v>
      </c>
      <c r="G131" s="41" t="s">
        <v>95</v>
      </c>
      <c r="H131" s="41" t="s">
        <v>96</v>
      </c>
      <c r="I131" s="41" t="s">
        <v>86</v>
      </c>
      <c r="J131" s="32" t="str" cm="1">
        <f t="array" ref="J131">_xlfn.LET(
  _xlpm.mapL, منابع!$H$11:$H$15,
  _xlpm.mapN, منابع!$I$11:$I$15,
  _xlpm.C, _xlfn.XLOOKUP(F131,_xlpm.mapL,_xlpm.mapN,""),
  _xlpm.G, _xlfn.XLOOKUP(G131,_xlpm.mapL,_xlpm.mapN,""),
  _xlpm.S, _xlfn.XLOOKUP(H131,_xlpm.mapL,_xlpm.mapN,""),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31" s="69" t="s">
        <v>393</v>
      </c>
    </row>
    <row r="132" spans="1:11">
      <c r="A132" s="40">
        <v>130</v>
      </c>
      <c r="B132" s="41" t="s">
        <v>364</v>
      </c>
      <c r="C132" s="42">
        <v>0.14166666666666666</v>
      </c>
      <c r="D132" s="47" t="s">
        <v>122</v>
      </c>
      <c r="E132" s="68" t="s">
        <v>391</v>
      </c>
      <c r="F132" s="43" t="s">
        <v>96</v>
      </c>
      <c r="G132" s="41" t="s">
        <v>96</v>
      </c>
      <c r="H132" s="41" t="s">
        <v>96</v>
      </c>
      <c r="I132" s="41" t="s">
        <v>101</v>
      </c>
      <c r="J132" s="32" t="str" cm="1">
        <f t="array" ref="J132">_xlfn.LET(
  _xlpm.mapL, منابع!$H$11:$H$15,
  _xlpm.mapN, منابع!$I$11:$I$15,
  _xlpm.C, _xlfn.XLOOKUP(F132,_xlpm.mapL,_xlpm.mapN,""),
  _xlpm.G, _xlfn.XLOOKUP(G132,_xlpm.mapL,_xlpm.mapN,""),
  _xlpm.S, _xlfn.XLOOKUP(H132,_xlpm.mapL,_xlpm.mapN,""),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32" s="69" t="s">
        <v>392</v>
      </c>
    </row>
    <row r="133" spans="1:11">
      <c r="A133" s="40">
        <v>131</v>
      </c>
      <c r="B133" s="41" t="s">
        <v>364</v>
      </c>
      <c r="C133" s="52">
        <v>0.14861111111111111</v>
      </c>
      <c r="D133" s="53" t="s">
        <v>122</v>
      </c>
      <c r="E133" s="68" t="s">
        <v>390</v>
      </c>
      <c r="F133" s="43" t="s">
        <v>96</v>
      </c>
      <c r="G133" s="41" t="s">
        <v>96</v>
      </c>
      <c r="H133" s="41" t="s">
        <v>95</v>
      </c>
      <c r="I133" s="41" t="s">
        <v>101</v>
      </c>
      <c r="J133" s="32" t="str" cm="1">
        <f t="array" ref="J133">_xlfn.LET(
  _xlpm.mapL, منابع!$H$11:$H$15,
  _xlpm.mapN, منابع!$I$11:$I$15,
  _xlpm.C, _xlfn.XLOOKUP(F133,_xlpm.mapL,_xlpm.mapN,""),
  _xlpm.G, _xlfn.XLOOKUP(G133,_xlpm.mapL,_xlpm.mapN,""),
  _xlpm.S, _xlfn.XLOOKUP(H133,_xlpm.mapL,_xlpm.mapN,""),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33" s="69" t="s">
        <v>389</v>
      </c>
    </row>
    <row r="134" spans="1:11">
      <c r="A134" s="40">
        <v>132</v>
      </c>
      <c r="B134" s="41" t="s">
        <v>364</v>
      </c>
      <c r="C134" s="42">
        <v>0.16805555555555557</v>
      </c>
      <c r="D134" s="43" t="s">
        <v>122</v>
      </c>
      <c r="E134" s="68" t="s">
        <v>388</v>
      </c>
      <c r="F134" s="43" t="s">
        <v>95</v>
      </c>
      <c r="G134" s="41" t="s">
        <v>94</v>
      </c>
      <c r="H134" s="41" t="s">
        <v>96</v>
      </c>
      <c r="I134" s="41" t="s">
        <v>88</v>
      </c>
      <c r="J134" s="32" t="str" cm="1">
        <f t="array" ref="J134">_xlfn.LET(
  _xlpm.mapL, منابع!$H$11:$H$15,
  _xlpm.mapN, منابع!$I$11:$I$15,
  _xlpm.C, _xlfn.XLOOKUP(F134,_xlpm.mapL,_xlpm.mapN,""),
  _xlpm.G, _xlfn.XLOOKUP(G134,_xlpm.mapL,_xlpm.mapN,""),
  _xlpm.S, _xlfn.XLOOKUP(H134,_xlpm.mapL,_xlpm.mapN,""),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34" s="69" t="s">
        <v>387</v>
      </c>
    </row>
    <row r="135" spans="1:11">
      <c r="A135" s="40">
        <v>133</v>
      </c>
      <c r="B135" s="41" t="s">
        <v>364</v>
      </c>
      <c r="C135" s="42">
        <v>0.21041666666666667</v>
      </c>
      <c r="D135" s="43" t="s">
        <v>122</v>
      </c>
      <c r="E135" s="68" t="s">
        <v>385</v>
      </c>
      <c r="F135" s="43" t="s">
        <v>96</v>
      </c>
      <c r="G135" s="41" t="s">
        <v>94</v>
      </c>
      <c r="H135" s="41" t="s">
        <v>96</v>
      </c>
      <c r="I135" s="41" t="s">
        <v>88</v>
      </c>
      <c r="J135" s="32" t="str" cm="1">
        <f t="array" ref="J135">_xlfn.LET(
  _xlpm.mapL, منابع!$H$11:$H$15,
  _xlpm.mapN, منابع!$I$11:$I$15,
  _xlpm.C, _xlfn.XLOOKUP(F135,_xlpm.mapL,_xlpm.mapN,""),
  _xlpm.G, _xlfn.XLOOKUP(G135,_xlpm.mapL,_xlpm.mapN,""),
  _xlpm.S, _xlfn.XLOOKUP(H135,_xlpm.mapL,_xlpm.mapN,""),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35" s="69" t="s">
        <v>386</v>
      </c>
    </row>
    <row r="136" spans="1:11">
      <c r="A136" s="40">
        <v>134</v>
      </c>
      <c r="B136" s="41" t="s">
        <v>364</v>
      </c>
      <c r="C136" s="42">
        <v>0.3347222222222222</v>
      </c>
      <c r="D136" s="47" t="s">
        <v>122</v>
      </c>
      <c r="E136" s="68" t="s">
        <v>383</v>
      </c>
      <c r="F136" s="43" t="s">
        <v>96</v>
      </c>
      <c r="G136" s="41" t="s">
        <v>96</v>
      </c>
      <c r="H136" s="41" t="s">
        <v>96</v>
      </c>
      <c r="I136" s="41" t="s">
        <v>86</v>
      </c>
      <c r="J136" s="32" t="str" cm="1">
        <f t="array" ref="J136">_xlfn.LET(
  _xlpm.mapL, منابع!$H$11:$H$15,
  _xlpm.mapN, منابع!$I$11:$I$15,
  _xlpm.C, _xlfn.XLOOKUP(F136,_xlpm.mapL,_xlpm.mapN,""),
  _xlpm.G, _xlfn.XLOOKUP(G136,_xlpm.mapL,_xlpm.mapN,""),
  _xlpm.S, _xlfn.XLOOKUP(H136,_xlpm.mapL,_xlpm.mapN,""),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36" s="69" t="s">
        <v>384</v>
      </c>
    </row>
    <row r="137" spans="1:11">
      <c r="A137" s="40">
        <v>135</v>
      </c>
      <c r="B137" s="41" t="s">
        <v>364</v>
      </c>
      <c r="C137" s="42">
        <v>0.33750000000000002</v>
      </c>
      <c r="D137" s="43" t="s">
        <v>122</v>
      </c>
      <c r="E137" s="68" t="s">
        <v>382</v>
      </c>
      <c r="F137" s="43" t="s">
        <v>96</v>
      </c>
      <c r="G137" s="41" t="s">
        <v>95</v>
      </c>
      <c r="H137" s="41" t="s">
        <v>96</v>
      </c>
      <c r="I137" s="41" t="s">
        <v>87</v>
      </c>
      <c r="J137" s="32" t="str" cm="1">
        <f t="array" ref="J137">_xlfn.LET(
  _xlpm.mapL, منابع!$H$11:$H$15,
  _xlpm.mapN, منابع!$I$11:$I$15,
  _xlpm.C, _xlfn.XLOOKUP(F137,_xlpm.mapL,_xlpm.mapN,""),
  _xlpm.G, _xlfn.XLOOKUP(G137,_xlpm.mapL,_xlpm.mapN,""),
  _xlpm.S, _xlfn.XLOOKUP(H137,_xlpm.mapL,_xlpm.mapN,""),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37" s="69" t="s">
        <v>381</v>
      </c>
    </row>
    <row r="138" spans="1:11">
      <c r="A138" s="40">
        <v>136</v>
      </c>
      <c r="B138" s="41" t="s">
        <v>364</v>
      </c>
      <c r="C138" s="42">
        <v>0.3923611111111111</v>
      </c>
      <c r="D138" s="43" t="s">
        <v>122</v>
      </c>
      <c r="E138" s="68" t="s">
        <v>380</v>
      </c>
      <c r="F138" s="43" t="s">
        <v>95</v>
      </c>
      <c r="G138" s="41" t="s">
        <v>94</v>
      </c>
      <c r="H138" s="41" t="s">
        <v>96</v>
      </c>
      <c r="I138" s="41" t="s">
        <v>88</v>
      </c>
      <c r="J138" s="32" t="str" cm="1">
        <f t="array" ref="J138">_xlfn.LET(
  _xlpm.mapL, منابع!$H$11:$H$15,
  _xlpm.mapN, منابع!$I$11:$I$15,
  _xlpm.C, _xlfn.XLOOKUP(F138,_xlpm.mapL,_xlpm.mapN,""),
  _xlpm.G, _xlfn.XLOOKUP(G138,_xlpm.mapL,_xlpm.mapN,""),
  _xlpm.S, _xlfn.XLOOKUP(H138,_xlpm.mapL,_xlpm.mapN,""),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38" s="69" t="s">
        <v>379</v>
      </c>
    </row>
    <row r="139" spans="1:11">
      <c r="A139" s="40">
        <v>137</v>
      </c>
      <c r="B139" s="41" t="s">
        <v>364</v>
      </c>
      <c r="C139" s="42">
        <v>0.40347222222222223</v>
      </c>
      <c r="D139" s="43" t="s">
        <v>122</v>
      </c>
      <c r="E139" s="68" t="s">
        <v>397</v>
      </c>
      <c r="F139" s="43" t="s">
        <v>96</v>
      </c>
      <c r="G139" s="41" t="s">
        <v>94</v>
      </c>
      <c r="H139" s="41" t="s">
        <v>96</v>
      </c>
      <c r="I139" s="41" t="s">
        <v>101</v>
      </c>
      <c r="J139" s="32" t="str" cm="1">
        <f t="array" ref="J139">_xlfn.LET(
  _xlpm.mapL, منابع!$H$11:$H$15,
  _xlpm.mapN, منابع!$I$11:$I$15,
  _xlpm.C, _xlfn.XLOOKUP(F139,_xlpm.mapL,_xlpm.mapN,""),
  _xlpm.G, _xlfn.XLOOKUP(G139,_xlpm.mapL,_xlpm.mapN,""),
  _xlpm.S, _xlfn.XLOOKUP(H139,_xlpm.mapL,_xlpm.mapN,""),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39" s="69" t="s">
        <v>398</v>
      </c>
    </row>
    <row r="140" spans="1:11">
      <c r="A140" s="40">
        <v>138</v>
      </c>
      <c r="B140" s="41" t="s">
        <v>364</v>
      </c>
      <c r="C140" s="42">
        <v>0.43611111111111112</v>
      </c>
      <c r="D140" s="43" t="s">
        <v>122</v>
      </c>
      <c r="E140" s="70" t="s">
        <v>399</v>
      </c>
      <c r="F140" s="43" t="s">
        <v>96</v>
      </c>
      <c r="G140" s="41" t="s">
        <v>96</v>
      </c>
      <c r="H140" s="41" t="s">
        <v>96</v>
      </c>
      <c r="I140" s="41" t="s">
        <v>101</v>
      </c>
      <c r="J140" s="32" t="str" cm="1">
        <f t="array" ref="J140">_xlfn.LET(
  _xlpm.mapL, منابع!$H$11:$H$15,
  _xlpm.mapN, منابع!$I$11:$I$15,
  _xlpm.C, _xlfn.XLOOKUP(F140,_xlpm.mapL,_xlpm.mapN,""),
  _xlpm.G, _xlfn.XLOOKUP(G140,_xlpm.mapL,_xlpm.mapN,""),
  _xlpm.S, _xlfn.XLOOKUP(H140,_xlpm.mapL,_xlpm.mapN,""),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40" s="69" t="s">
        <v>400</v>
      </c>
    </row>
    <row r="141" spans="1:11">
      <c r="A141" s="40">
        <v>139</v>
      </c>
      <c r="B141" s="41" t="s">
        <v>364</v>
      </c>
      <c r="C141" s="52">
        <v>0.47291666666666665</v>
      </c>
      <c r="D141" s="53" t="s">
        <v>122</v>
      </c>
      <c r="E141" s="70" t="s">
        <v>402</v>
      </c>
      <c r="F141" s="43" t="s">
        <v>96</v>
      </c>
      <c r="G141" s="41" t="s">
        <v>96</v>
      </c>
      <c r="H141" s="41" t="s">
        <v>95</v>
      </c>
      <c r="I141" s="41" t="s">
        <v>86</v>
      </c>
      <c r="J141" s="32" t="str" cm="1">
        <f t="array" ref="J141">_xlfn.LET(
  _xlpm.mapL, منابع!$H$11:$H$15,
  _xlpm.mapN, منابع!$I$11:$I$15,
  _xlpm.C, _xlfn.XLOOKUP(F141,_xlpm.mapL,_xlpm.mapN,""),
  _xlpm.G, _xlfn.XLOOKUP(G141,_xlpm.mapL,_xlpm.mapN,""),
  _xlpm.S, _xlfn.XLOOKUP(H141,_xlpm.mapL,_xlpm.mapN,""),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41" s="69" t="s">
        <v>401</v>
      </c>
    </row>
    <row r="142" spans="1:11">
      <c r="A142" s="40">
        <v>140</v>
      </c>
      <c r="B142" s="41" t="s">
        <v>364</v>
      </c>
      <c r="C142" s="42">
        <v>0.51666666666666672</v>
      </c>
      <c r="D142" s="43" t="s">
        <v>122</v>
      </c>
      <c r="E142" s="70" t="s">
        <v>404</v>
      </c>
      <c r="F142" s="43" t="s">
        <v>96</v>
      </c>
      <c r="G142" s="41" t="s">
        <v>96</v>
      </c>
      <c r="H142" s="41" t="s">
        <v>94</v>
      </c>
      <c r="I142" s="41" t="s">
        <v>87</v>
      </c>
      <c r="J142" s="32" t="str" cm="1">
        <f t="array" ref="J142">_xlfn.LET(
  _xlpm.mapL, منابع!$H$11:$H$15,
  _xlpm.mapN, منابع!$I$11:$I$15,
  _xlpm.C, _xlfn.XLOOKUP(F142,_xlpm.mapL,_xlpm.mapN,""),
  _xlpm.G, _xlfn.XLOOKUP(G142,_xlpm.mapL,_xlpm.mapN,""),
  _xlpm.S, _xlfn.XLOOKUP(H142,_xlpm.mapL,_xlpm.mapN,""),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42" s="69" t="s">
        <v>403</v>
      </c>
    </row>
    <row r="143" spans="1:11">
      <c r="A143" s="40">
        <v>141</v>
      </c>
      <c r="B143" s="41" t="s">
        <v>364</v>
      </c>
      <c r="C143" s="42">
        <v>0.52013888888888893</v>
      </c>
      <c r="D143" s="43" t="s">
        <v>122</v>
      </c>
      <c r="E143" s="68" t="s">
        <v>405</v>
      </c>
      <c r="F143" s="43" t="s">
        <v>95</v>
      </c>
      <c r="G143" s="41" t="s">
        <v>94</v>
      </c>
      <c r="H143" s="41" t="s">
        <v>95</v>
      </c>
      <c r="I143" s="41" t="s">
        <v>88</v>
      </c>
      <c r="J143" s="32" t="str" cm="1">
        <f t="array" ref="J143">_xlfn.LET(
  _xlpm.mapL, منابع!$H$11:$H$15,
  _xlpm.mapN, منابع!$I$11:$I$15,
  _xlpm.C, _xlfn.XLOOKUP(F143,_xlpm.mapL,_xlpm.mapN,""),
  _xlpm.G, _xlfn.XLOOKUP(G143,_xlpm.mapL,_xlpm.mapN,""),
  _xlpm.S, _xlfn.XLOOKUP(H143,_xlpm.mapL,_xlpm.mapN,""),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43" s="69" t="s">
        <v>406</v>
      </c>
    </row>
    <row r="144" spans="1:11">
      <c r="A144" s="40">
        <v>142</v>
      </c>
      <c r="B144" s="41" t="s">
        <v>364</v>
      </c>
      <c r="C144" s="42">
        <v>0.55138888888888893</v>
      </c>
      <c r="D144" s="43" t="s">
        <v>122</v>
      </c>
      <c r="E144" s="68" t="s">
        <v>408</v>
      </c>
      <c r="F144" s="43" t="s">
        <v>96</v>
      </c>
      <c r="G144" s="41" t="s">
        <v>96</v>
      </c>
      <c r="H144" s="41" t="s">
        <v>96</v>
      </c>
      <c r="I144" s="41" t="s">
        <v>86</v>
      </c>
      <c r="J144" s="32" t="str" cm="1">
        <f t="array" ref="J144">_xlfn.LET(
  _xlpm.mapL, منابع!$H$11:$H$15,
  _xlpm.mapN, منابع!$I$11:$I$15,
  _xlpm.C, _xlfn.XLOOKUP(F144,_xlpm.mapL,_xlpm.mapN,""),
  _xlpm.G, _xlfn.XLOOKUP(G144,_xlpm.mapL,_xlpm.mapN,""),
  _xlpm.S, _xlfn.XLOOKUP(H144,_xlpm.mapL,_xlpm.mapN,""),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44" s="69" t="s">
        <v>407</v>
      </c>
    </row>
    <row r="145" spans="1:11">
      <c r="A145" s="40">
        <v>143</v>
      </c>
      <c r="B145" s="41" t="s">
        <v>364</v>
      </c>
      <c r="C145" s="42">
        <v>0.55208333333333337</v>
      </c>
      <c r="D145" s="43" t="s">
        <v>122</v>
      </c>
      <c r="E145" s="68" t="s">
        <v>409</v>
      </c>
      <c r="F145" s="43" t="s">
        <v>96</v>
      </c>
      <c r="G145" s="41" t="s">
        <v>96</v>
      </c>
      <c r="H145" s="41" t="s">
        <v>94</v>
      </c>
      <c r="I145" s="41" t="s">
        <v>86</v>
      </c>
      <c r="J145" s="32" t="str" cm="1">
        <f t="array" ref="J145">_xlfn.LET(
  _xlpm.mapL, منابع!$H$11:$H$15,
  _xlpm.mapN, منابع!$I$11:$I$15,
  _xlpm.C, _xlfn.XLOOKUP(F145,_xlpm.mapL,_xlpm.mapN,""),
  _xlpm.G, _xlfn.XLOOKUP(G145,_xlpm.mapL,_xlpm.mapN,""),
  _xlpm.S, _xlfn.XLOOKUP(H145,_xlpm.mapL,_xlpm.mapN,""),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45" s="69" t="s">
        <v>410</v>
      </c>
    </row>
    <row r="146" spans="1:11">
      <c r="A146" s="40">
        <v>144</v>
      </c>
      <c r="B146" s="41" t="s">
        <v>364</v>
      </c>
      <c r="C146" s="42">
        <v>0.59097222222222223</v>
      </c>
      <c r="D146" s="43" t="s">
        <v>122</v>
      </c>
      <c r="E146" s="68" t="s">
        <v>412</v>
      </c>
      <c r="F146" s="43" t="s">
        <v>96</v>
      </c>
      <c r="G146" s="41" t="s">
        <v>94</v>
      </c>
      <c r="H146" s="41" t="s">
        <v>94</v>
      </c>
      <c r="I146" s="41" t="s">
        <v>88</v>
      </c>
      <c r="J146" s="32" t="str" cm="1">
        <f t="array" ref="J146">_xlfn.LET(
  _xlpm.mapL, منابع!$H$11:$H$15,
  _xlpm.mapN, منابع!$I$11:$I$15,
  _xlpm.C, _xlfn.XLOOKUP(F146,_xlpm.mapL,_xlpm.mapN,""),
  _xlpm.G, _xlfn.XLOOKUP(G146,_xlpm.mapL,_xlpm.mapN,""),
  _xlpm.S, _xlfn.XLOOKUP(H146,_xlpm.mapL,_xlpm.mapN,""),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46" s="69" t="s">
        <v>411</v>
      </c>
    </row>
    <row r="147" spans="1:11">
      <c r="A147" s="40">
        <v>145</v>
      </c>
      <c r="B147" s="41" t="s">
        <v>364</v>
      </c>
      <c r="C147" s="42">
        <v>0.59305555555555556</v>
      </c>
      <c r="D147" s="43" t="s">
        <v>122</v>
      </c>
      <c r="E147" s="68" t="s">
        <v>413</v>
      </c>
      <c r="F147" s="43" t="s">
        <v>95</v>
      </c>
      <c r="G147" s="41" t="s">
        <v>96</v>
      </c>
      <c r="H147" s="41" t="s">
        <v>94</v>
      </c>
      <c r="I147" s="41" t="s">
        <v>101</v>
      </c>
      <c r="J147" s="32" t="str" cm="1">
        <f t="array" ref="J147">_xlfn.LET(
  _xlpm.mapL, منابع!$H$11:$H$15,
  _xlpm.mapN, منابع!$I$11:$I$15,
  _xlpm.C, _xlfn.XLOOKUP(F147,_xlpm.mapL,_xlpm.mapN,""),
  _xlpm.G, _xlfn.XLOOKUP(G147,_xlpm.mapL,_xlpm.mapN,""),
  _xlpm.S, _xlfn.XLOOKUP(H147,_xlpm.mapL,_xlpm.mapN,""),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47" s="69" t="s">
        <v>414</v>
      </c>
    </row>
    <row r="148" spans="1:11">
      <c r="A148" s="40">
        <v>146</v>
      </c>
      <c r="B148" s="41" t="s">
        <v>364</v>
      </c>
      <c r="C148" s="42">
        <v>0.59791666666666665</v>
      </c>
      <c r="D148" s="43" t="s">
        <v>122</v>
      </c>
      <c r="E148" s="68" t="s">
        <v>415</v>
      </c>
      <c r="F148" s="43" t="s">
        <v>95</v>
      </c>
      <c r="G148" s="41" t="s">
        <v>94</v>
      </c>
      <c r="H148" s="41" t="s">
        <v>96</v>
      </c>
      <c r="I148" s="41" t="s">
        <v>87</v>
      </c>
      <c r="J148" s="32" t="str" cm="1">
        <f t="array" ref="J148">_xlfn.LET(
  _xlpm.mapL, منابع!$H$11:$H$15,
  _xlpm.mapN, منابع!$I$11:$I$15,
  _xlpm.C, _xlfn.XLOOKUP(F148,_xlpm.mapL,_xlpm.mapN,""),
  _xlpm.G, _xlfn.XLOOKUP(G148,_xlpm.mapL,_xlpm.mapN,""),
  _xlpm.S, _xlfn.XLOOKUP(H148,_xlpm.mapL,_xlpm.mapN,""),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48" s="69" t="s">
        <v>416</v>
      </c>
    </row>
    <row r="149" spans="1:11">
      <c r="A149" s="40">
        <v>147</v>
      </c>
      <c r="B149" s="41" t="s">
        <v>364</v>
      </c>
      <c r="C149" s="52">
        <v>0.63263888888888886</v>
      </c>
      <c r="D149" s="53" t="s">
        <v>122</v>
      </c>
      <c r="E149" s="68" t="s">
        <v>417</v>
      </c>
      <c r="F149" s="43" t="s">
        <v>96</v>
      </c>
      <c r="G149" s="41" t="s">
        <v>95</v>
      </c>
      <c r="H149" s="41" t="s">
        <v>96</v>
      </c>
      <c r="I149" s="41" t="s">
        <v>101</v>
      </c>
      <c r="J149" s="32" t="str" cm="1">
        <f t="array" ref="J149">_xlfn.LET(
  _xlpm.mapL, منابع!$H$11:$H$15,
  _xlpm.mapN, منابع!$I$11:$I$15,
  _xlpm.C, _xlfn.XLOOKUP(F149,_xlpm.mapL,_xlpm.mapN,""),
  _xlpm.G, _xlfn.XLOOKUP(G149,_xlpm.mapL,_xlpm.mapN,""),
  _xlpm.S, _xlfn.XLOOKUP(H149,_xlpm.mapL,_xlpm.mapN,""),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49" s="69" t="s">
        <v>418</v>
      </c>
    </row>
    <row r="150" spans="1:11">
      <c r="A150" s="40">
        <v>148</v>
      </c>
      <c r="B150" s="41" t="s">
        <v>364</v>
      </c>
      <c r="C150" s="42">
        <v>0.64097222222222228</v>
      </c>
      <c r="D150" s="43" t="s">
        <v>122</v>
      </c>
      <c r="E150" s="68" t="s">
        <v>419</v>
      </c>
      <c r="F150" s="43" t="s">
        <v>96</v>
      </c>
      <c r="G150" s="41" t="s">
        <v>96</v>
      </c>
      <c r="H150" s="41" t="s">
        <v>95</v>
      </c>
      <c r="I150" s="41" t="s">
        <v>87</v>
      </c>
      <c r="J150" s="32" t="str" cm="1">
        <f t="array" ref="J150">_xlfn.LET(
  _xlpm.mapL, منابع!$H$11:$H$15,
  _xlpm.mapN, منابع!$I$11:$I$15,
  _xlpm.C, _xlfn.XLOOKUP(F150,_xlpm.mapL,_xlpm.mapN,""),
  _xlpm.G, _xlfn.XLOOKUP(G150,_xlpm.mapL,_xlpm.mapN,""),
  _xlpm.S, _xlfn.XLOOKUP(H150,_xlpm.mapL,_xlpm.mapN,""),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50" s="69" t="s">
        <v>420</v>
      </c>
    </row>
    <row r="151" spans="1:11">
      <c r="A151" s="40">
        <v>149</v>
      </c>
      <c r="B151" s="41" t="s">
        <v>364</v>
      </c>
      <c r="C151" s="42">
        <v>0.64930555555555558</v>
      </c>
      <c r="D151" s="45" t="s">
        <v>122</v>
      </c>
      <c r="E151" s="68" t="s">
        <v>421</v>
      </c>
      <c r="F151" s="43" t="s">
        <v>96</v>
      </c>
      <c r="G151" s="41" t="s">
        <v>94</v>
      </c>
      <c r="H151" s="41" t="s">
        <v>96</v>
      </c>
      <c r="I151" s="41" t="s">
        <v>88</v>
      </c>
      <c r="J151" s="32" t="str" cm="1">
        <f t="array" ref="J151">_xlfn.LET(
  _xlpm.mapL, منابع!$H$11:$H$15,
  _xlpm.mapN, منابع!$I$11:$I$15,
  _xlpm.C, _xlfn.XLOOKUP(F151,_xlpm.mapL,_xlpm.mapN,""),
  _xlpm.G, _xlfn.XLOOKUP(G151,_xlpm.mapL,_xlpm.mapN,""),
  _xlpm.S, _xlfn.XLOOKUP(H151,_xlpm.mapL,_xlpm.mapN,""),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51" s="69" t="s">
        <v>422</v>
      </c>
    </row>
    <row r="152" spans="1:11">
      <c r="A152" s="40">
        <v>150</v>
      </c>
      <c r="B152" s="41" t="s">
        <v>364</v>
      </c>
      <c r="C152" s="42">
        <v>0.69166666666666665</v>
      </c>
      <c r="D152" s="43" t="s">
        <v>122</v>
      </c>
      <c r="E152" s="68" t="s">
        <v>423</v>
      </c>
      <c r="F152" s="43" t="s">
        <v>96</v>
      </c>
      <c r="G152" s="41" t="s">
        <v>94</v>
      </c>
      <c r="H152" s="41" t="s">
        <v>96</v>
      </c>
      <c r="I152" s="41" t="s">
        <v>88</v>
      </c>
      <c r="J152" s="32" t="str" cm="1">
        <f t="array" ref="J152">_xlfn.LET(
  _xlpm.mapL, منابع!$H$11:$H$15,
  _xlpm.mapN, منابع!$I$11:$I$15,
  _xlpm.C, _xlfn.XLOOKUP(F152,_xlpm.mapL,_xlpm.mapN,""),
  _xlpm.G, _xlfn.XLOOKUP(G152,_xlpm.mapL,_xlpm.mapN,""),
  _xlpm.S, _xlfn.XLOOKUP(H152,_xlpm.mapL,_xlpm.mapN,""),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52" s="69" t="s">
        <v>424</v>
      </c>
    </row>
    <row r="153" spans="1:11">
      <c r="A153" s="40">
        <v>151</v>
      </c>
      <c r="B153" s="41" t="s">
        <v>364</v>
      </c>
      <c r="C153" s="42">
        <v>0.94305555555555554</v>
      </c>
      <c r="D153" s="43" t="s">
        <v>37</v>
      </c>
      <c r="E153" s="71" t="s">
        <v>429</v>
      </c>
      <c r="F153" s="43" t="s">
        <v>96</v>
      </c>
      <c r="G153" s="41" t="s">
        <v>95</v>
      </c>
      <c r="H153" s="41" t="s">
        <v>96</v>
      </c>
      <c r="I153" s="41" t="s">
        <v>88</v>
      </c>
      <c r="J153" s="32" t="str" cm="1">
        <f t="array" ref="J153">_xlfn.LET(
  _xlpm.mapL, منابع!$H$11:$H$15,
  _xlpm.mapN, منابع!$I$11:$I$15,
  _xlpm.C, _xlfn.XLOOKUP(F153,_xlpm.mapL,_xlpm.mapN,""),
  _xlpm.G, _xlfn.XLOOKUP(G153,_xlpm.mapL,_xlpm.mapN,""),
  _xlpm.S, _xlfn.XLOOKUP(H153,_xlpm.mapL,_xlpm.mapN,""),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53" s="69" t="s">
        <v>428</v>
      </c>
    </row>
    <row r="154" spans="1:11">
      <c r="A154" s="40">
        <v>152</v>
      </c>
      <c r="B154" s="41" t="s">
        <v>364</v>
      </c>
      <c r="C154" s="42">
        <v>0.98888888888888893</v>
      </c>
      <c r="D154" s="43" t="s">
        <v>425</v>
      </c>
      <c r="E154" s="70" t="s">
        <v>426</v>
      </c>
      <c r="F154" s="43" t="s">
        <v>96</v>
      </c>
      <c r="G154" s="41" t="s">
        <v>94</v>
      </c>
      <c r="H154" s="41" t="s">
        <v>96</v>
      </c>
      <c r="I154" s="41" t="s">
        <v>101</v>
      </c>
      <c r="J154" s="32" t="str" cm="1">
        <f t="array" ref="J154">_xlfn.LET(
  _xlpm.mapL, منابع!$H$11:$H$15,
  _xlpm.mapN, منابع!$I$11:$I$15,
  _xlpm.C, _xlfn.XLOOKUP(F154,_xlpm.mapL,_xlpm.mapN,""),
  _xlpm.G, _xlfn.XLOOKUP(G154,_xlpm.mapL,_xlpm.mapN,""),
  _xlpm.S, _xlfn.XLOOKUP(H154,_xlpm.mapL,_xlpm.mapN,""),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54" s="69" t="s">
        <v>427</v>
      </c>
    </row>
    <row r="155" spans="1:11">
      <c r="A155" s="40">
        <v>153</v>
      </c>
      <c r="B155" s="41" t="s">
        <v>364</v>
      </c>
      <c r="C155" s="42">
        <v>0.60069444444444442</v>
      </c>
      <c r="D155" s="43" t="s">
        <v>430</v>
      </c>
      <c r="E155" s="68" t="s">
        <v>432</v>
      </c>
      <c r="F155" s="43" t="s">
        <v>95</v>
      </c>
      <c r="G155" s="41" t="s">
        <v>96</v>
      </c>
      <c r="H155" s="41" t="s">
        <v>95</v>
      </c>
      <c r="I155" s="41" t="s">
        <v>101</v>
      </c>
      <c r="J155" s="32" t="str" cm="1">
        <f t="array" ref="J155">_xlfn.LET(
  _xlpm.mapL, منابع!$H$11:$H$15,
  _xlpm.mapN, منابع!$I$11:$I$15,
  _xlpm.C, _xlfn.XLOOKUP(F155,_xlpm.mapL,_xlpm.mapN,""),
  _xlpm.G, _xlfn.XLOOKUP(G155,_xlpm.mapL,_xlpm.mapN,""),
  _xlpm.S, _xlfn.XLOOKUP(H155,_xlpm.mapL,_xlpm.mapN,""),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55" s="69" t="s">
        <v>431</v>
      </c>
    </row>
    <row r="156" spans="1:11">
      <c r="A156" s="40">
        <v>154</v>
      </c>
      <c r="B156" s="41" t="s">
        <v>364</v>
      </c>
      <c r="C156" s="42">
        <v>0.63124999999999998</v>
      </c>
      <c r="D156" s="54" t="s">
        <v>430</v>
      </c>
      <c r="E156" s="68" t="s">
        <v>436</v>
      </c>
      <c r="F156" s="43" t="s">
        <v>96</v>
      </c>
      <c r="G156" s="41" t="s">
        <v>96</v>
      </c>
      <c r="H156" s="41" t="s">
        <v>94</v>
      </c>
      <c r="I156" s="41" t="s">
        <v>87</v>
      </c>
      <c r="J156" s="32" t="str" cm="1">
        <f t="array" ref="J156">_xlfn.LET(
  _xlpm.mapL, منابع!$H$11:$H$15,
  _xlpm.mapN, منابع!$I$11:$I$15,
  _xlpm.C, _xlfn.XLOOKUP(F156,_xlpm.mapL,_xlpm.mapN,""),
  _xlpm.G, _xlfn.XLOOKUP(G156,_xlpm.mapL,_xlpm.mapN,""),
  _xlpm.S, _xlfn.XLOOKUP(H156,_xlpm.mapL,_xlpm.mapN,""),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56" s="69" t="s">
        <v>435</v>
      </c>
    </row>
    <row r="157" spans="1:11">
      <c r="A157" s="40">
        <v>155</v>
      </c>
      <c r="B157" s="41" t="s">
        <v>364</v>
      </c>
      <c r="C157" s="52">
        <v>0.66666666666666663</v>
      </c>
      <c r="D157" s="53" t="s">
        <v>430</v>
      </c>
      <c r="E157" s="68" t="s">
        <v>433</v>
      </c>
      <c r="F157" s="43" t="s">
        <v>96</v>
      </c>
      <c r="G157" s="41" t="s">
        <v>96</v>
      </c>
      <c r="H157" s="41" t="s">
        <v>95</v>
      </c>
      <c r="I157" s="41" t="s">
        <v>101</v>
      </c>
      <c r="J157" s="32" t="str" cm="1">
        <f t="array" ref="J157">_xlfn.LET(
  _xlpm.mapL, منابع!$H$11:$H$15,
  _xlpm.mapN, منابع!$I$11:$I$15,
  _xlpm.C, _xlfn.XLOOKUP(F157,_xlpm.mapL,_xlpm.mapN,""),
  _xlpm.G, _xlfn.XLOOKUP(G157,_xlpm.mapL,_xlpm.mapN,""),
  _xlpm.S, _xlfn.XLOOKUP(H157,_xlpm.mapL,_xlpm.mapN,""),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57" s="69" t="s">
        <v>434</v>
      </c>
    </row>
    <row r="158" spans="1:11">
      <c r="A158" s="40">
        <v>156</v>
      </c>
      <c r="B158" s="41" t="s">
        <v>364</v>
      </c>
      <c r="C158" s="42">
        <v>0.80972222222222223</v>
      </c>
      <c r="D158" s="43" t="s">
        <v>430</v>
      </c>
      <c r="E158" s="68" t="s">
        <v>437</v>
      </c>
      <c r="F158" s="43" t="s">
        <v>95</v>
      </c>
      <c r="G158" s="41" t="s">
        <v>94</v>
      </c>
      <c r="H158" s="41" t="s">
        <v>96</v>
      </c>
      <c r="I158" s="41" t="s">
        <v>88</v>
      </c>
      <c r="J158" s="32" t="str" cm="1">
        <f t="array" ref="J158">_xlfn.LET(
  _xlpm.mapL, منابع!$H$11:$H$15,
  _xlpm.mapN, منابع!$I$11:$I$15,
  _xlpm.C, _xlfn.XLOOKUP(F158,_xlpm.mapL,_xlpm.mapN,""),
  _xlpm.G, _xlfn.XLOOKUP(G158,_xlpm.mapL,_xlpm.mapN,""),
  _xlpm.S, _xlfn.XLOOKUP(H158,_xlpm.mapL,_xlpm.mapN,""),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نشود</v>
      </c>
      <c r="K158" s="69" t="s">
        <v>438</v>
      </c>
    </row>
    <row r="159" spans="1:11">
      <c r="A159" s="40">
        <v>157</v>
      </c>
      <c r="B159" s="41" t="s">
        <v>364</v>
      </c>
      <c r="C159" s="42">
        <v>0.51666666666666672</v>
      </c>
      <c r="D159" s="43" t="s">
        <v>439</v>
      </c>
      <c r="E159" s="68" t="s">
        <v>441</v>
      </c>
      <c r="F159" s="43" t="s">
        <v>96</v>
      </c>
      <c r="G159" s="41" t="s">
        <v>96</v>
      </c>
      <c r="H159" s="41" t="s">
        <v>95</v>
      </c>
      <c r="I159" s="41" t="s">
        <v>101</v>
      </c>
      <c r="J159" s="32" t="str" cm="1">
        <f t="array" ref="J159">_xlfn.LET(
  _xlpm.mapL, منابع!$H$11:$H$15,
  _xlpm.mapN, منابع!$I$11:$I$15,
  _xlpm.C, _xlfn.XLOOKUP(F159,_xlpm.mapL,_xlpm.mapN,""),
  _xlpm.G, _xlfn.XLOOKUP(G159,_xlpm.mapL,_xlpm.mapN,""),
  _xlpm.S, _xlfn.XLOOKUP(H159,_xlpm.mapL,_xlpm.mapN,""),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59" s="69" t="s">
        <v>440</v>
      </c>
    </row>
    <row r="160" spans="1:11">
      <c r="A160" s="40">
        <v>158</v>
      </c>
      <c r="B160" s="41" t="s">
        <v>442</v>
      </c>
      <c r="C160" s="42">
        <v>1.7361111111111112E-2</v>
      </c>
      <c r="D160" s="45" t="s">
        <v>443</v>
      </c>
      <c r="E160" s="77" t="s">
        <v>444</v>
      </c>
      <c r="F160" s="43" t="s">
        <v>96</v>
      </c>
      <c r="G160" s="41" t="s">
        <v>95</v>
      </c>
      <c r="H160" s="41" t="s">
        <v>96</v>
      </c>
      <c r="I160" s="41" t="s">
        <v>101</v>
      </c>
      <c r="J160" s="32" t="str" cm="1">
        <f t="array" ref="J160">_xlfn.LET(
  _xlpm.mapL, منابع!$H$11:$H$15,
  _xlpm.mapN, منابع!$I$11:$I$15,
  _xlpm.C, _xlfn.XLOOKUP(F160,_xlpm.mapL,_xlpm.mapN,""),
  _xlpm.G, _xlfn.XLOOKUP(G160,_xlpm.mapL,_xlpm.mapN,""),
  _xlpm.S, _xlfn.XLOOKUP(H160,_xlpm.mapL,_xlpm.mapN,""),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اطلاع‌رسانی شود</v>
      </c>
      <c r="K160" s="78" t="s">
        <v>445</v>
      </c>
    </row>
    <row r="161" spans="1:11" ht="16">
      <c r="A161" s="40">
        <v>159</v>
      </c>
      <c r="B161" s="41"/>
      <c r="C161" s="42"/>
      <c r="D161" s="43"/>
      <c r="E161" s="46"/>
      <c r="F161" s="43"/>
      <c r="G161" s="41"/>
      <c r="H161" s="41"/>
      <c r="I161" s="41"/>
      <c r="J161" s="32" t="str" cm="1">
        <f t="array" ref="J161">_xlfn.LET(
  _xlpm.mapL, منابع!$H$11:$H$15,
  _xlpm.mapN, منابع!$I$11:$I$15,
  _xlpm.C, _xlfn.XLOOKUP(F161,_xlpm.mapL,_xlpm.mapN,""),
  _xlpm.G, _xlfn.XLOOKUP(G161,_xlpm.mapL,_xlpm.mapN,""),
  _xlpm.S, _xlfn.XLOOKUP(H161,_xlpm.mapL,_xlpm.mapN,""),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61" s="41"/>
    </row>
    <row r="162" spans="1:11" ht="16">
      <c r="A162" s="40">
        <v>160</v>
      </c>
      <c r="B162" s="41"/>
      <c r="C162" s="42"/>
      <c r="D162" s="43"/>
      <c r="E162" s="46"/>
      <c r="F162" s="43"/>
      <c r="G162" s="41"/>
      <c r="H162" s="41"/>
      <c r="I162" s="41"/>
      <c r="J162" s="32" t="str" cm="1">
        <f t="array" ref="J162">_xlfn.LET(
  _xlpm.mapL, منابع!$H$11:$H$15,
  _xlpm.mapN, منابع!$I$11:$I$15,
  _xlpm.C, _xlfn.XLOOKUP(F162,_xlpm.mapL,_xlpm.mapN,""),
  _xlpm.G, _xlfn.XLOOKUP(G162,_xlpm.mapL,_xlpm.mapN,""),
  _xlpm.S, _xlfn.XLOOKUP(H162,_xlpm.mapL,_xlpm.mapN,""),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62" s="41"/>
    </row>
    <row r="163" spans="1:11" ht="16">
      <c r="A163" s="40">
        <v>161</v>
      </c>
      <c r="B163" s="41"/>
      <c r="C163" s="42"/>
      <c r="D163" s="43"/>
      <c r="E163" s="49"/>
      <c r="F163" s="43"/>
      <c r="G163" s="41"/>
      <c r="H163" s="41"/>
      <c r="I163" s="41"/>
      <c r="J163" s="32" t="str" cm="1">
        <f t="array" ref="J163">_xlfn.LET(
  _xlpm.mapL, منابع!$H$11:$H$15,
  _xlpm.mapN, منابع!$I$11:$I$15,
  _xlpm.C, _xlfn.XLOOKUP(F163,_xlpm.mapL,_xlpm.mapN,""),
  _xlpm.G, _xlfn.XLOOKUP(G163,_xlpm.mapL,_xlpm.mapN,""),
  _xlpm.S, _xlfn.XLOOKUP(H163,_xlpm.mapL,_xlpm.mapN,""),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63" s="41"/>
    </row>
    <row r="164" spans="1:11" ht="16">
      <c r="A164" s="40">
        <v>162</v>
      </c>
      <c r="B164" s="41"/>
      <c r="C164" s="42"/>
      <c r="D164" s="48"/>
      <c r="E164" s="46"/>
      <c r="F164" s="43"/>
      <c r="G164" s="41"/>
      <c r="H164" s="41"/>
      <c r="I164" s="41"/>
      <c r="J164" s="32" t="str" cm="1">
        <f t="array" ref="J164">_xlfn.LET(
  _xlpm.mapL, منابع!$H$11:$H$15,
  _xlpm.mapN, منابع!$I$11:$I$15,
  _xlpm.C, _xlfn.XLOOKUP(F164,_xlpm.mapL,_xlpm.mapN,""),
  _xlpm.G, _xlfn.XLOOKUP(G164,_xlpm.mapL,_xlpm.mapN,""),
  _xlpm.S, _xlfn.XLOOKUP(H164,_xlpm.mapL,_xlpm.mapN,""),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64" s="41"/>
    </row>
    <row r="165" spans="1:11" ht="16">
      <c r="A165" s="40">
        <v>163</v>
      </c>
      <c r="B165" s="41"/>
      <c r="C165" s="52"/>
      <c r="D165" s="53"/>
      <c r="E165" s="49"/>
      <c r="F165" s="43"/>
      <c r="G165" s="41"/>
      <c r="H165" s="41"/>
      <c r="I165" s="41"/>
      <c r="J165" s="32" t="str" cm="1">
        <f t="array" ref="J165">_xlfn.LET(
  _xlpm.mapL, منابع!$H$11:$H$15,
  _xlpm.mapN, منابع!$I$11:$I$15,
  _xlpm.C, _xlfn.XLOOKUP(F165,_xlpm.mapL,_xlpm.mapN,""),
  _xlpm.G, _xlfn.XLOOKUP(G165,_xlpm.mapL,_xlpm.mapN,""),
  _xlpm.S, _xlfn.XLOOKUP(H165,_xlpm.mapL,_xlpm.mapN,""),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65" s="41"/>
    </row>
    <row r="166" spans="1:11" ht="16">
      <c r="A166" s="40">
        <v>164</v>
      </c>
      <c r="B166" s="41"/>
      <c r="C166" s="42"/>
      <c r="D166" s="43"/>
      <c r="E166" s="49"/>
      <c r="F166" s="43"/>
      <c r="G166" s="41"/>
      <c r="H166" s="41"/>
      <c r="I166" s="41"/>
      <c r="J166" s="32" t="str" cm="1">
        <f t="array" ref="J166">_xlfn.LET(
  _xlpm.mapL, منابع!$H$11:$H$15,
  _xlpm.mapN, منابع!$I$11:$I$15,
  _xlpm.C, _xlfn.XLOOKUP(F166,_xlpm.mapL,_xlpm.mapN,""),
  _xlpm.G, _xlfn.XLOOKUP(G166,_xlpm.mapL,_xlpm.mapN,""),
  _xlpm.S, _xlfn.XLOOKUP(H166,_xlpm.mapL,_xlpm.mapN,""),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66" s="41"/>
    </row>
    <row r="167" spans="1:11" ht="16">
      <c r="A167" s="40">
        <v>165</v>
      </c>
      <c r="B167" s="41"/>
      <c r="C167" s="42"/>
      <c r="D167" s="43"/>
      <c r="E167" s="49"/>
      <c r="F167" s="43"/>
      <c r="G167" s="41"/>
      <c r="H167" s="41"/>
      <c r="I167" s="41"/>
      <c r="J167" s="32" t="str" cm="1">
        <f t="array" ref="J167">_xlfn.LET(
  _xlpm.mapL, منابع!$H$11:$H$15,
  _xlpm.mapN, منابع!$I$11:$I$15,
  _xlpm.C, _xlfn.XLOOKUP(F167,_xlpm.mapL,_xlpm.mapN,""),
  _xlpm.G, _xlfn.XLOOKUP(G167,_xlpm.mapL,_xlpm.mapN,""),
  _xlpm.S, _xlfn.XLOOKUP(H167,_xlpm.mapL,_xlpm.mapN,""),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67" s="41"/>
    </row>
    <row r="168" spans="1:11" ht="16">
      <c r="A168" s="40">
        <v>166</v>
      </c>
      <c r="B168" s="41"/>
      <c r="C168" s="42"/>
      <c r="D168" s="43"/>
      <c r="E168" s="49"/>
      <c r="F168" s="43"/>
      <c r="G168" s="41"/>
      <c r="H168" s="41"/>
      <c r="I168" s="41"/>
      <c r="J168" s="32" t="str" cm="1">
        <f t="array" ref="J168">_xlfn.LET(
  _xlpm.mapL, منابع!$H$11:$H$15,
  _xlpm.mapN, منابع!$I$11:$I$15,
  _xlpm.C, _xlfn.XLOOKUP(F168,_xlpm.mapL,_xlpm.mapN,""),
  _xlpm.G, _xlfn.XLOOKUP(G168,_xlpm.mapL,_xlpm.mapN,""),
  _xlpm.S, _xlfn.XLOOKUP(H168,_xlpm.mapL,_xlpm.mapN,""),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68" s="41"/>
    </row>
    <row r="169" spans="1:11" ht="16">
      <c r="A169" s="40">
        <v>167</v>
      </c>
      <c r="B169" s="41"/>
      <c r="C169" s="42"/>
      <c r="D169" s="43"/>
      <c r="E169" s="49"/>
      <c r="F169" s="43"/>
      <c r="G169" s="41"/>
      <c r="H169" s="41"/>
      <c r="I169" s="41"/>
      <c r="J169" s="32" t="str" cm="1">
        <f t="array" ref="J169">_xlfn.LET(
  _xlpm.mapL, منابع!$H$11:$H$15,
  _xlpm.mapN, منابع!$I$11:$I$15,
  _xlpm.C, _xlfn.XLOOKUP(F169,_xlpm.mapL,_xlpm.mapN,""),
  _xlpm.G, _xlfn.XLOOKUP(G169,_xlpm.mapL,_xlpm.mapN,""),
  _xlpm.S, _xlfn.XLOOKUP(H169,_xlpm.mapL,_xlpm.mapN,""),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69" s="41"/>
    </row>
    <row r="170" spans="1:11" ht="16">
      <c r="A170" s="40">
        <v>168</v>
      </c>
      <c r="B170" s="41"/>
      <c r="C170" s="42"/>
      <c r="D170" s="43"/>
      <c r="E170" s="49"/>
      <c r="F170" s="43"/>
      <c r="G170" s="41"/>
      <c r="H170" s="41"/>
      <c r="I170" s="41"/>
      <c r="J170" s="32" t="str" cm="1">
        <f t="array" ref="J170">_xlfn.LET(
  _xlpm.mapL, منابع!$H$11:$H$15,
  _xlpm.mapN, منابع!$I$11:$I$15,
  _xlpm.C, _xlfn.XLOOKUP(F170,_xlpm.mapL,_xlpm.mapN,""),
  _xlpm.G, _xlfn.XLOOKUP(G170,_xlpm.mapL,_xlpm.mapN,""),
  _xlpm.S, _xlfn.XLOOKUP(H170,_xlpm.mapL,_xlpm.mapN,""),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70" s="41"/>
    </row>
    <row r="171" spans="1:11" ht="16">
      <c r="A171" s="40">
        <v>169</v>
      </c>
      <c r="B171" s="41"/>
      <c r="C171" s="42"/>
      <c r="D171" s="43"/>
      <c r="E171" s="49"/>
      <c r="F171" s="43"/>
      <c r="G171" s="41"/>
      <c r="H171" s="41"/>
      <c r="I171" s="41"/>
      <c r="J171" s="32" t="str" cm="1">
        <f t="array" ref="J171">_xlfn.LET(
  _xlpm.mapL, منابع!$H$11:$H$15,
  _xlpm.mapN, منابع!$I$11:$I$15,
  _xlpm.C, _xlfn.XLOOKUP(F171,_xlpm.mapL,_xlpm.mapN,""),
  _xlpm.G, _xlfn.XLOOKUP(G171,_xlpm.mapL,_xlpm.mapN,""),
  _xlpm.S, _xlfn.XLOOKUP(H171,_xlpm.mapL,_xlpm.mapN,""),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71" s="41"/>
    </row>
    <row r="172" spans="1:11" ht="16">
      <c r="A172" s="40">
        <v>170</v>
      </c>
      <c r="B172" s="41"/>
      <c r="C172" s="42"/>
      <c r="D172" s="43"/>
      <c r="E172" s="49"/>
      <c r="F172" s="43"/>
      <c r="G172" s="41"/>
      <c r="H172" s="41"/>
      <c r="I172" s="41"/>
      <c r="J172" s="32" t="str" cm="1">
        <f t="array" ref="J172">_xlfn.LET(
  _xlpm.mapL, منابع!$H$11:$H$15,
  _xlpm.mapN, منابع!$I$11:$I$15,
  _xlpm.C, _xlfn.XLOOKUP(F172,_xlpm.mapL,_xlpm.mapN,""),
  _xlpm.G, _xlfn.XLOOKUP(G172,_xlpm.mapL,_xlpm.mapN,""),
  _xlpm.S, _xlfn.XLOOKUP(H172,_xlpm.mapL,_xlpm.mapN,""),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72" s="41"/>
    </row>
    <row r="173" spans="1:11" ht="16">
      <c r="A173" s="40">
        <v>171</v>
      </c>
      <c r="B173" s="41"/>
      <c r="C173" s="52"/>
      <c r="D173" s="53"/>
      <c r="E173" s="49"/>
      <c r="F173" s="43"/>
      <c r="G173" s="41"/>
      <c r="H173" s="41"/>
      <c r="I173" s="41"/>
      <c r="J173" s="32" t="str" cm="1">
        <f t="array" ref="J173">_xlfn.LET(
  _xlpm.mapL, منابع!$H$11:$H$15,
  _xlpm.mapN, منابع!$I$11:$I$15,
  _xlpm.C, _xlfn.XLOOKUP(F173,_xlpm.mapL,_xlpm.mapN,""),
  _xlpm.G, _xlfn.XLOOKUP(G173,_xlpm.mapL,_xlpm.mapN,""),
  _xlpm.S, _xlfn.XLOOKUP(H173,_xlpm.mapL,_xlpm.mapN,""),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73" s="41"/>
    </row>
    <row r="174" spans="1:11" ht="16">
      <c r="A174" s="40">
        <v>172</v>
      </c>
      <c r="B174" s="41"/>
      <c r="C174" s="42"/>
      <c r="D174" s="43"/>
      <c r="E174" s="49"/>
      <c r="F174" s="43"/>
      <c r="G174" s="41"/>
      <c r="H174" s="41"/>
      <c r="I174" s="41"/>
      <c r="J174" s="32" t="str" cm="1">
        <f t="array" ref="J174">_xlfn.LET(
  _xlpm.mapL, منابع!$H$11:$H$15,
  _xlpm.mapN, منابع!$I$11:$I$15,
  _xlpm.C, _xlfn.XLOOKUP(F174,_xlpm.mapL,_xlpm.mapN,""),
  _xlpm.G, _xlfn.XLOOKUP(G174,_xlpm.mapL,_xlpm.mapN,""),
  _xlpm.S, _xlfn.XLOOKUP(H174,_xlpm.mapL,_xlpm.mapN,""),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74" s="41"/>
    </row>
    <row r="175" spans="1:11" ht="16">
      <c r="A175" s="40">
        <v>173</v>
      </c>
      <c r="B175" s="41"/>
      <c r="C175" s="42"/>
      <c r="D175" s="45"/>
      <c r="E175" s="49"/>
      <c r="F175" s="43"/>
      <c r="G175" s="41"/>
      <c r="H175" s="41"/>
      <c r="I175" s="41"/>
      <c r="J175" s="32" t="str" cm="1">
        <f t="array" ref="J175">_xlfn.LET(
  _xlpm.mapL, منابع!$H$11:$H$15,
  _xlpm.mapN, منابع!$I$11:$I$15,
  _xlpm.C, _xlfn.XLOOKUP(F175,_xlpm.mapL,_xlpm.mapN,""),
  _xlpm.G, _xlfn.XLOOKUP(G175,_xlpm.mapL,_xlpm.mapN,""),
  _xlpm.S, _xlfn.XLOOKUP(H175,_xlpm.mapL,_xlpm.mapN,""),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75" s="41"/>
    </row>
    <row r="176" spans="1:11" ht="16">
      <c r="A176" s="40">
        <v>174</v>
      </c>
      <c r="B176" s="41"/>
      <c r="C176" s="42"/>
      <c r="D176" s="43"/>
      <c r="E176" s="49"/>
      <c r="F176" s="43"/>
      <c r="G176" s="41"/>
      <c r="H176" s="41"/>
      <c r="I176" s="41"/>
      <c r="J176" s="32" t="str" cm="1">
        <f t="array" ref="J176">_xlfn.LET(
  _xlpm.mapL, منابع!$H$11:$H$15,
  _xlpm.mapN, منابع!$I$11:$I$15,
  _xlpm.C, _xlfn.XLOOKUP(F176,_xlpm.mapL,_xlpm.mapN,""),
  _xlpm.G, _xlfn.XLOOKUP(G176,_xlpm.mapL,_xlpm.mapN,""),
  _xlpm.S, _xlfn.XLOOKUP(H176,_xlpm.mapL,_xlpm.mapN,""),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76" s="41"/>
    </row>
    <row r="177" spans="1:11" ht="16">
      <c r="A177" s="40">
        <v>175</v>
      </c>
      <c r="B177" s="41"/>
      <c r="C177" s="42"/>
      <c r="D177" s="43"/>
      <c r="E177" s="49"/>
      <c r="F177" s="43"/>
      <c r="G177" s="41"/>
      <c r="H177" s="41"/>
      <c r="I177" s="41"/>
      <c r="J177" s="32" t="str" cm="1">
        <f t="array" ref="J177">_xlfn.LET(
  _xlpm.mapL, منابع!$H$11:$H$15,
  _xlpm.mapN, منابع!$I$11:$I$15,
  _xlpm.C, _xlfn.XLOOKUP(F177,_xlpm.mapL,_xlpm.mapN,""),
  _xlpm.G, _xlfn.XLOOKUP(G177,_xlpm.mapL,_xlpm.mapN,""),
  _xlpm.S, _xlfn.XLOOKUP(H177,_xlpm.mapL,_xlpm.mapN,""),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77" s="41"/>
    </row>
    <row r="178" spans="1:11" ht="16">
      <c r="A178" s="40">
        <v>176</v>
      </c>
      <c r="B178" s="41"/>
      <c r="C178" s="42"/>
      <c r="D178" s="47"/>
      <c r="E178" s="49"/>
      <c r="F178" s="43"/>
      <c r="G178" s="41"/>
      <c r="H178" s="41"/>
      <c r="I178" s="41"/>
      <c r="J178" s="32" t="str" cm="1">
        <f t="array" ref="J178">_xlfn.LET(
  _xlpm.mapL, منابع!$H$11:$H$15,
  _xlpm.mapN, منابع!$I$11:$I$15,
  _xlpm.C, _xlfn.XLOOKUP(F178,_xlpm.mapL,_xlpm.mapN,""),
  _xlpm.G, _xlfn.XLOOKUP(G178,_xlpm.mapL,_xlpm.mapN,""),
  _xlpm.S, _xlfn.XLOOKUP(H178,_xlpm.mapL,_xlpm.mapN,""),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78" s="41"/>
    </row>
    <row r="179" spans="1:11" ht="16">
      <c r="A179" s="40">
        <v>177</v>
      </c>
      <c r="B179" s="41"/>
      <c r="C179" s="42"/>
      <c r="D179" s="43"/>
      <c r="E179" s="49"/>
      <c r="F179" s="43"/>
      <c r="G179" s="41"/>
      <c r="H179" s="41"/>
      <c r="I179" s="41"/>
      <c r="J179" s="32" t="str" cm="1">
        <f t="array" ref="J179">_xlfn.LET(
  _xlpm.mapL, منابع!$H$11:$H$15,
  _xlpm.mapN, منابع!$I$11:$I$15,
  _xlpm.C, _xlfn.XLOOKUP(F179,_xlpm.mapL,_xlpm.mapN,""),
  _xlpm.G, _xlfn.XLOOKUP(G179,_xlpm.mapL,_xlpm.mapN,""),
  _xlpm.S, _xlfn.XLOOKUP(H179,_xlpm.mapL,_xlpm.mapN,""),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79" s="41"/>
    </row>
    <row r="180" spans="1:11" ht="16">
      <c r="A180" s="40">
        <v>178</v>
      </c>
      <c r="B180" s="41"/>
      <c r="C180" s="42"/>
      <c r="D180" s="43"/>
      <c r="E180" s="49"/>
      <c r="F180" s="43"/>
      <c r="G180" s="41"/>
      <c r="H180" s="41"/>
      <c r="I180" s="41"/>
      <c r="J180" s="32" t="str" cm="1">
        <f t="array" ref="J180">_xlfn.LET(
  _xlpm.mapL, منابع!$H$11:$H$15,
  _xlpm.mapN, منابع!$I$11:$I$15,
  _xlpm.C, _xlfn.XLOOKUP(F180,_xlpm.mapL,_xlpm.mapN,""),
  _xlpm.G, _xlfn.XLOOKUP(G180,_xlpm.mapL,_xlpm.mapN,""),
  _xlpm.S, _xlfn.XLOOKUP(H180,_xlpm.mapL,_xlpm.mapN,""),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80" s="41"/>
    </row>
    <row r="181" spans="1:11" ht="16">
      <c r="A181" s="40">
        <v>179</v>
      </c>
      <c r="B181" s="41"/>
      <c r="C181" s="52"/>
      <c r="D181" s="53"/>
      <c r="E181" s="49"/>
      <c r="F181" s="43"/>
      <c r="G181" s="41"/>
      <c r="H181" s="41"/>
      <c r="I181" s="41"/>
      <c r="J181" s="32" t="str" cm="1">
        <f t="array" ref="J181">_xlfn.LET(
  _xlpm.mapL, منابع!$H$11:$H$15,
  _xlpm.mapN, منابع!$I$11:$I$15,
  _xlpm.C, _xlfn.XLOOKUP(F181,_xlpm.mapL,_xlpm.mapN,""),
  _xlpm.G, _xlfn.XLOOKUP(G181,_xlpm.mapL,_xlpm.mapN,""),
  _xlpm.S, _xlfn.XLOOKUP(H181,_xlpm.mapL,_xlpm.mapN,""),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81" s="41"/>
    </row>
    <row r="182" spans="1:11" ht="16">
      <c r="A182" s="40">
        <v>180</v>
      </c>
      <c r="B182" s="41"/>
      <c r="C182" s="42"/>
      <c r="D182" s="43"/>
      <c r="E182" s="49"/>
      <c r="F182" s="43"/>
      <c r="G182" s="41"/>
      <c r="H182" s="41"/>
      <c r="I182" s="41"/>
      <c r="J182" s="32" t="str" cm="1">
        <f t="array" ref="J182">_xlfn.LET(
  _xlpm.mapL, منابع!$H$11:$H$15,
  _xlpm.mapN, منابع!$I$11:$I$15,
  _xlpm.C, _xlfn.XLOOKUP(F182,_xlpm.mapL,_xlpm.mapN,""),
  _xlpm.G, _xlfn.XLOOKUP(G182,_xlpm.mapL,_xlpm.mapN,""),
  _xlpm.S, _xlfn.XLOOKUP(H182,_xlpm.mapL,_xlpm.mapN,""),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82" s="41"/>
    </row>
    <row r="183" spans="1:11" ht="16">
      <c r="A183" s="40">
        <v>181</v>
      </c>
      <c r="B183" s="41"/>
      <c r="C183" s="42"/>
      <c r="D183" s="43"/>
      <c r="E183" s="49"/>
      <c r="F183" s="43"/>
      <c r="G183" s="41"/>
      <c r="H183" s="41"/>
      <c r="I183" s="41"/>
      <c r="J183" s="32" t="str" cm="1">
        <f t="array" ref="J183">_xlfn.LET(
  _xlpm.mapL, منابع!$H$11:$H$15,
  _xlpm.mapN, منابع!$I$11:$I$15,
  _xlpm.C, _xlfn.XLOOKUP(F183,_xlpm.mapL,_xlpm.mapN,""),
  _xlpm.G, _xlfn.XLOOKUP(G183,_xlpm.mapL,_xlpm.mapN,""),
  _xlpm.S, _xlfn.XLOOKUP(H183,_xlpm.mapL,_xlpm.mapN,""),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83" s="41"/>
    </row>
    <row r="184" spans="1:11" ht="16">
      <c r="A184" s="40">
        <v>182</v>
      </c>
      <c r="B184" s="41"/>
      <c r="C184" s="42"/>
      <c r="D184" s="43"/>
      <c r="E184" s="49"/>
      <c r="F184" s="43"/>
      <c r="G184" s="41"/>
      <c r="H184" s="41"/>
      <c r="I184" s="41"/>
      <c r="J184" s="32" t="str" cm="1">
        <f t="array" ref="J184">_xlfn.LET(
  _xlpm.mapL, منابع!$H$11:$H$15,
  _xlpm.mapN, منابع!$I$11:$I$15,
  _xlpm.C, _xlfn.XLOOKUP(F184,_xlpm.mapL,_xlpm.mapN,""),
  _xlpm.G, _xlfn.XLOOKUP(G184,_xlpm.mapL,_xlpm.mapN,""),
  _xlpm.S, _xlfn.XLOOKUP(H184,_xlpm.mapL,_xlpm.mapN,""),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84" s="41"/>
    </row>
    <row r="185" spans="1:11" ht="16">
      <c r="A185" s="40">
        <v>183</v>
      </c>
      <c r="B185" s="41"/>
      <c r="C185" s="42"/>
      <c r="D185" s="43"/>
      <c r="E185" s="49"/>
      <c r="F185" s="43"/>
      <c r="G185" s="41"/>
      <c r="H185" s="41"/>
      <c r="I185" s="41"/>
      <c r="J185" s="32" t="str" cm="1">
        <f t="array" ref="J185">_xlfn.LET(
  _xlpm.mapL, منابع!$H$11:$H$15,
  _xlpm.mapN, منابع!$I$11:$I$15,
  _xlpm.C, _xlfn.XLOOKUP(F185,_xlpm.mapL,_xlpm.mapN,""),
  _xlpm.G, _xlfn.XLOOKUP(G185,_xlpm.mapL,_xlpm.mapN,""),
  _xlpm.S, _xlfn.XLOOKUP(H185,_xlpm.mapL,_xlpm.mapN,""),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85" s="41"/>
    </row>
    <row r="186" spans="1:11" ht="16">
      <c r="A186" s="40">
        <v>184</v>
      </c>
      <c r="B186" s="41"/>
      <c r="C186" s="42"/>
      <c r="D186" s="43"/>
      <c r="E186" s="49"/>
      <c r="F186" s="43"/>
      <c r="G186" s="41"/>
      <c r="H186" s="41"/>
      <c r="I186" s="41"/>
      <c r="J186" s="32" t="str" cm="1">
        <f t="array" ref="J186">_xlfn.LET(
  _xlpm.mapL, منابع!$H$11:$H$15,
  _xlpm.mapN, منابع!$I$11:$I$15,
  _xlpm.C, _xlfn.XLOOKUP(F186,_xlpm.mapL,_xlpm.mapN,""),
  _xlpm.G, _xlfn.XLOOKUP(G186,_xlpm.mapL,_xlpm.mapN,""),
  _xlpm.S, _xlfn.XLOOKUP(H186,_xlpm.mapL,_xlpm.mapN,""),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86" s="41"/>
    </row>
    <row r="187" spans="1:11" ht="16">
      <c r="A187" s="40">
        <v>185</v>
      </c>
      <c r="B187" s="41"/>
      <c r="C187" s="42"/>
      <c r="D187" s="43"/>
      <c r="E187" s="49"/>
      <c r="F187" s="43"/>
      <c r="G187" s="41"/>
      <c r="H187" s="41"/>
      <c r="I187" s="41"/>
      <c r="J187" s="32" t="str" cm="1">
        <f t="array" ref="J187">_xlfn.LET(
  _xlpm.mapL, منابع!$H$11:$H$15,
  _xlpm.mapN, منابع!$I$11:$I$15,
  _xlpm.C, _xlfn.XLOOKUP(F187,_xlpm.mapL,_xlpm.mapN,""),
  _xlpm.G, _xlfn.XLOOKUP(G187,_xlpm.mapL,_xlpm.mapN,""),
  _xlpm.S, _xlfn.XLOOKUP(H187,_xlpm.mapL,_xlpm.mapN,""),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87" s="41"/>
    </row>
    <row r="188" spans="1:11" ht="16">
      <c r="A188" s="40">
        <v>186</v>
      </c>
      <c r="B188" s="41"/>
      <c r="C188" s="42"/>
      <c r="D188" s="43"/>
      <c r="E188" s="49"/>
      <c r="F188" s="43"/>
      <c r="G188" s="41"/>
      <c r="H188" s="41"/>
      <c r="I188" s="41"/>
      <c r="J188" s="32" t="str" cm="1">
        <f t="array" ref="J188">_xlfn.LET(
  _xlpm.mapL, منابع!$H$11:$H$15,
  _xlpm.mapN, منابع!$I$11:$I$15,
  _xlpm.C, _xlfn.XLOOKUP(F188,_xlpm.mapL,_xlpm.mapN,""),
  _xlpm.G, _xlfn.XLOOKUP(G188,_xlpm.mapL,_xlpm.mapN,""),
  _xlpm.S, _xlfn.XLOOKUP(H188,_xlpm.mapL,_xlpm.mapN,""),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88" s="41"/>
    </row>
    <row r="189" spans="1:11" ht="16">
      <c r="A189" s="40">
        <v>187</v>
      </c>
      <c r="B189" s="41"/>
      <c r="C189" s="52"/>
      <c r="D189" s="53"/>
      <c r="E189" s="49"/>
      <c r="F189" s="43"/>
      <c r="G189" s="41"/>
      <c r="H189" s="41"/>
      <c r="I189" s="41"/>
      <c r="J189" s="32" t="str" cm="1">
        <f t="array" ref="J189">_xlfn.LET(
  _xlpm.mapL, منابع!$H$11:$H$15,
  _xlpm.mapN, منابع!$I$11:$I$15,
  _xlpm.C, _xlfn.XLOOKUP(F189,_xlpm.mapL,_xlpm.mapN,""),
  _xlpm.G, _xlfn.XLOOKUP(G189,_xlpm.mapL,_xlpm.mapN,""),
  _xlpm.S, _xlfn.XLOOKUP(H189,_xlpm.mapL,_xlpm.mapN,""),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89" s="41"/>
    </row>
    <row r="190" spans="1:11" ht="16">
      <c r="A190" s="40">
        <v>188</v>
      </c>
      <c r="B190" s="41"/>
      <c r="C190" s="42"/>
      <c r="D190" s="43"/>
      <c r="E190" s="49"/>
      <c r="F190" s="43"/>
      <c r="G190" s="41"/>
      <c r="H190" s="41"/>
      <c r="I190" s="41"/>
      <c r="J190" s="32" t="str" cm="1">
        <f t="array" ref="J190">_xlfn.LET(
  _xlpm.mapL, منابع!$H$11:$H$15,
  _xlpm.mapN, منابع!$I$11:$I$15,
  _xlpm.C, _xlfn.XLOOKUP(F190,_xlpm.mapL,_xlpm.mapN,""),
  _xlpm.G, _xlfn.XLOOKUP(G190,_xlpm.mapL,_xlpm.mapN,""),
  _xlpm.S, _xlfn.XLOOKUP(H190,_xlpm.mapL,_xlpm.mapN,""),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90" s="41"/>
    </row>
    <row r="191" spans="1:11" ht="16">
      <c r="A191" s="40">
        <v>189</v>
      </c>
      <c r="B191" s="41"/>
      <c r="C191" s="42"/>
      <c r="D191" s="43"/>
      <c r="E191" s="49"/>
      <c r="F191" s="43"/>
      <c r="G191" s="41"/>
      <c r="H191" s="41"/>
      <c r="I191" s="41"/>
      <c r="J191" s="32" t="str" cm="1">
        <f t="array" ref="J191">_xlfn.LET(
  _xlpm.mapL, منابع!$H$11:$H$15,
  _xlpm.mapN, منابع!$I$11:$I$15,
  _xlpm.C, _xlfn.XLOOKUP(F191,_xlpm.mapL,_xlpm.mapN,""),
  _xlpm.G, _xlfn.XLOOKUP(G191,_xlpm.mapL,_xlpm.mapN,""),
  _xlpm.S, _xlfn.XLOOKUP(H191,_xlpm.mapL,_xlpm.mapN,""),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91" s="41"/>
    </row>
    <row r="192" spans="1:11" ht="16">
      <c r="A192" s="40">
        <v>190</v>
      </c>
      <c r="B192" s="41"/>
      <c r="C192" s="42"/>
      <c r="D192" s="43"/>
      <c r="E192" s="49"/>
      <c r="F192" s="43"/>
      <c r="G192" s="41"/>
      <c r="H192" s="41"/>
      <c r="I192" s="41"/>
      <c r="J192" s="32" t="str" cm="1">
        <f t="array" ref="J192">_xlfn.LET(
  _xlpm.mapL, منابع!$H$11:$H$15,
  _xlpm.mapN, منابع!$I$11:$I$15,
  _xlpm.C, _xlfn.XLOOKUP(F192,_xlpm.mapL,_xlpm.mapN,""),
  _xlpm.G, _xlfn.XLOOKUP(G192,_xlpm.mapL,_xlpm.mapN,""),
  _xlpm.S, _xlfn.XLOOKUP(H192,_xlpm.mapL,_xlpm.mapN,""),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92" s="43"/>
    </row>
    <row r="193" spans="1:11" ht="16">
      <c r="A193" s="40">
        <v>191</v>
      </c>
      <c r="B193" s="41"/>
      <c r="C193" s="42"/>
      <c r="D193" s="43"/>
      <c r="E193" s="49"/>
      <c r="F193" s="43"/>
      <c r="G193" s="41"/>
      <c r="H193" s="41"/>
      <c r="I193" s="41"/>
      <c r="J193" s="32" t="str" cm="1">
        <f t="array" ref="J193">_xlfn.LET(
  _xlpm.mapL, منابع!$H$11:$H$15,
  _xlpm.mapN, منابع!$I$11:$I$15,
  _xlpm.C, _xlfn.XLOOKUP(F193,_xlpm.mapL,_xlpm.mapN,""),
  _xlpm.G, _xlfn.XLOOKUP(G193,_xlpm.mapL,_xlpm.mapN,""),
  _xlpm.S, _xlfn.XLOOKUP(H193,_xlpm.mapL,_xlpm.mapN,""),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93" s="41"/>
    </row>
    <row r="194" spans="1:11" ht="16">
      <c r="A194" s="40">
        <v>192</v>
      </c>
      <c r="B194" s="41"/>
      <c r="C194" s="42"/>
      <c r="D194" s="43"/>
      <c r="E194" s="49"/>
      <c r="F194" s="43"/>
      <c r="G194" s="41"/>
      <c r="H194" s="41"/>
      <c r="I194" s="41"/>
      <c r="J194" s="32" t="str" cm="1">
        <f t="array" ref="J194">_xlfn.LET(
  _xlpm.mapL, منابع!$H$11:$H$15,
  _xlpm.mapN, منابع!$I$11:$I$15,
  _xlpm.C, _xlfn.XLOOKUP(F194,_xlpm.mapL,_xlpm.mapN,""),
  _xlpm.G, _xlfn.XLOOKUP(G194,_xlpm.mapL,_xlpm.mapN,""),
  _xlpm.S, _xlfn.XLOOKUP(H194,_xlpm.mapL,_xlpm.mapN,""),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94" s="63"/>
    </row>
    <row r="195" spans="1:11" ht="16">
      <c r="A195" s="40">
        <v>193</v>
      </c>
      <c r="B195" s="41"/>
      <c r="C195" s="42"/>
      <c r="D195" s="43"/>
      <c r="E195" s="49"/>
      <c r="F195" s="43"/>
      <c r="G195" s="41"/>
      <c r="H195" s="41"/>
      <c r="I195" s="41"/>
      <c r="J195" s="32" t="str" cm="1">
        <f t="array" ref="J195">_xlfn.LET(
  _xlpm.mapL, منابع!$H$11:$H$15,
  _xlpm.mapN, منابع!$I$11:$I$15,
  _xlpm.C, _xlfn.XLOOKUP(F195,_xlpm.mapL,_xlpm.mapN,""),
  _xlpm.G, _xlfn.XLOOKUP(G195,_xlpm.mapL,_xlpm.mapN,""),
  _xlpm.S, _xlfn.XLOOKUP(H195,_xlpm.mapL,_xlpm.mapN,""),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95" s="63"/>
    </row>
    <row r="196" spans="1:11" ht="16">
      <c r="A196" s="40">
        <v>194</v>
      </c>
      <c r="B196" s="41"/>
      <c r="C196" s="42"/>
      <c r="D196" s="43"/>
      <c r="E196" s="49"/>
      <c r="F196" s="43"/>
      <c r="G196" s="41"/>
      <c r="H196" s="41"/>
      <c r="I196" s="41"/>
      <c r="J196" s="32" t="str" cm="1">
        <f t="array" ref="J196">_xlfn.LET(
  _xlpm.mapL, منابع!$H$11:$H$15,
  _xlpm.mapN, منابع!$I$11:$I$15,
  _xlpm.C, _xlfn.XLOOKUP(F196,_xlpm.mapL,_xlpm.mapN,""),
  _xlpm.G, _xlfn.XLOOKUP(G196,_xlpm.mapL,_xlpm.mapN,""),
  _xlpm.S, _xlfn.XLOOKUP(H196,_xlpm.mapL,_xlpm.mapN,""),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96" s="63"/>
    </row>
    <row r="197" spans="1:11" ht="16">
      <c r="A197" s="40">
        <v>195</v>
      </c>
      <c r="B197" s="41"/>
      <c r="C197" s="52"/>
      <c r="D197" s="53"/>
      <c r="E197" s="49"/>
      <c r="F197" s="43"/>
      <c r="G197" s="41"/>
      <c r="H197" s="41"/>
      <c r="I197" s="41"/>
      <c r="J197" s="32" t="str" cm="1">
        <f t="array" ref="J197">_xlfn.LET(
  _xlpm.mapL, منابع!$H$11:$H$15,
  _xlpm.mapN, منابع!$I$11:$I$15,
  _xlpm.C, _xlfn.XLOOKUP(F197,_xlpm.mapL,_xlpm.mapN,""),
  _xlpm.G, _xlfn.XLOOKUP(G197,_xlpm.mapL,_xlpm.mapN,""),
  _xlpm.S, _xlfn.XLOOKUP(H197,_xlpm.mapL,_xlpm.mapN,""),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97" s="63"/>
    </row>
    <row r="198" spans="1:11" ht="16">
      <c r="A198" s="40">
        <v>196</v>
      </c>
      <c r="B198" s="41"/>
      <c r="C198" s="42"/>
      <c r="D198" s="43"/>
      <c r="E198" s="49"/>
      <c r="F198" s="43"/>
      <c r="G198" s="41"/>
      <c r="H198" s="41"/>
      <c r="I198" s="41"/>
      <c r="J198" s="32" t="str" cm="1">
        <f t="array" ref="J198">_xlfn.LET(
  _xlpm.mapL, منابع!$H$11:$H$15,
  _xlpm.mapN, منابع!$I$11:$I$15,
  _xlpm.C, _xlfn.XLOOKUP(F198,_xlpm.mapL,_xlpm.mapN,""),
  _xlpm.G, _xlfn.XLOOKUP(G198,_xlpm.mapL,_xlpm.mapN,""),
  _xlpm.S, _xlfn.XLOOKUP(H198,_xlpm.mapL,_xlpm.mapN,""),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98" s="65"/>
    </row>
    <row r="199" spans="1:11" ht="16">
      <c r="A199" s="40">
        <v>197</v>
      </c>
      <c r="B199" s="41"/>
      <c r="C199" s="42"/>
      <c r="D199" s="43"/>
      <c r="E199" s="49"/>
      <c r="F199" s="43"/>
      <c r="G199" s="41"/>
      <c r="H199" s="41"/>
      <c r="I199" s="41"/>
      <c r="J199" s="32" t="str" cm="1">
        <f t="array" ref="J199">_xlfn.LET(
  _xlpm.mapL, منابع!$H$11:$H$15,
  _xlpm.mapN, منابع!$I$11:$I$15,
  _xlpm.C, _xlfn.XLOOKUP(F199,_xlpm.mapL,_xlpm.mapN,""),
  _xlpm.G, _xlfn.XLOOKUP(G199,_xlpm.mapL,_xlpm.mapN,""),
  _xlpm.S, _xlfn.XLOOKUP(H199,_xlpm.mapL,_xlpm.mapN,""),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199" s="63"/>
    </row>
    <row r="200" spans="1:11" ht="16">
      <c r="A200" s="40">
        <v>198</v>
      </c>
      <c r="B200" s="41"/>
      <c r="C200" s="42"/>
      <c r="D200" s="43"/>
      <c r="E200" s="49"/>
      <c r="F200" s="43"/>
      <c r="G200" s="41"/>
      <c r="H200" s="41"/>
      <c r="I200" s="41"/>
      <c r="J200" s="32" t="str" cm="1">
        <f t="array" ref="J200">_xlfn.LET(
  _xlpm.mapL, منابع!$H$11:$H$15,
  _xlpm.mapN, منابع!$I$11:$I$15,
  _xlpm.C, _xlfn.XLOOKUP(F200,_xlpm.mapL,_xlpm.mapN,""),
  _xlpm.G, _xlfn.XLOOKUP(G200,_xlpm.mapL,_xlpm.mapN,""),
  _xlpm.S, _xlfn.XLOOKUP(H200,_xlpm.mapL,_xlpm.mapN,""),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00" s="63"/>
    </row>
    <row r="201" spans="1:11" ht="16">
      <c r="A201" s="40">
        <v>199</v>
      </c>
      <c r="B201" s="41"/>
      <c r="C201" s="42"/>
      <c r="D201" s="43"/>
      <c r="E201" s="49"/>
      <c r="F201" s="43"/>
      <c r="G201" s="41"/>
      <c r="H201" s="41"/>
      <c r="I201" s="41"/>
      <c r="J201" s="32" t="str" cm="1">
        <f t="array" ref="J201">_xlfn.LET(
  _xlpm.mapL, منابع!$H$11:$H$15,
  _xlpm.mapN, منابع!$I$11:$I$15,
  _xlpm.C, _xlfn.XLOOKUP(F201,_xlpm.mapL,_xlpm.mapN,""),
  _xlpm.G, _xlfn.XLOOKUP(G201,_xlpm.mapL,_xlpm.mapN,""),
  _xlpm.S, _xlfn.XLOOKUP(H201,_xlpm.mapL,_xlpm.mapN,""),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01" s="63"/>
    </row>
    <row r="202" spans="1:11" ht="16">
      <c r="A202" s="40">
        <v>200</v>
      </c>
      <c r="B202" s="41"/>
      <c r="C202" s="42"/>
      <c r="D202" s="43"/>
      <c r="E202" s="49"/>
      <c r="F202" s="43"/>
      <c r="G202" s="41"/>
      <c r="H202" s="41"/>
      <c r="I202" s="41"/>
      <c r="J202" s="32" t="str" cm="1">
        <f t="array" ref="J202">_xlfn.LET(
  _xlpm.mapL, منابع!$H$11:$H$15,
  _xlpm.mapN, منابع!$I$11:$I$15,
  _xlpm.C, _xlfn.XLOOKUP(F202,_xlpm.mapL,_xlpm.mapN,""),
  _xlpm.G, _xlfn.XLOOKUP(G202,_xlpm.mapL,_xlpm.mapN,""),
  _xlpm.S, _xlfn.XLOOKUP(H202,_xlpm.mapL,_xlpm.mapN,""),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02" s="63"/>
    </row>
    <row r="203" spans="1:11" ht="16">
      <c r="A203" s="40">
        <v>201</v>
      </c>
      <c r="B203" s="41"/>
      <c r="C203" s="42"/>
      <c r="D203" s="43"/>
      <c r="E203" s="49"/>
      <c r="F203" s="43"/>
      <c r="G203" s="41"/>
      <c r="H203" s="41"/>
      <c r="I203" s="41"/>
      <c r="J203" s="32" t="str" cm="1">
        <f t="array" ref="J203">_xlfn.LET(
  _xlpm.mapL, منابع!$H$11:$H$15,
  _xlpm.mapN, منابع!$I$11:$I$15,
  _xlpm.C, _xlfn.XLOOKUP(F203,_xlpm.mapL,_xlpm.mapN,""),
  _xlpm.G, _xlfn.XLOOKUP(G203,_xlpm.mapL,_xlpm.mapN,""),
  _xlpm.S, _xlfn.XLOOKUP(H203,_xlpm.mapL,_xlpm.mapN,""),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03" s="41"/>
    </row>
    <row r="204" spans="1:11" ht="16">
      <c r="A204" s="40">
        <v>202</v>
      </c>
      <c r="B204" s="41"/>
      <c r="C204" s="42"/>
      <c r="D204" s="43"/>
      <c r="E204" s="55"/>
      <c r="F204" s="43"/>
      <c r="G204" s="41"/>
      <c r="H204" s="41"/>
      <c r="I204" s="41"/>
      <c r="J204" s="32" t="str" cm="1">
        <f t="array" ref="J204">_xlfn.LET(
  _xlpm.mapL, منابع!$H$11:$H$15,
  _xlpm.mapN, منابع!$I$11:$I$15,
  _xlpm.C, _xlfn.XLOOKUP(F204,_xlpm.mapL,_xlpm.mapN,""),
  _xlpm.G, _xlfn.XLOOKUP(G204,_xlpm.mapL,_xlpm.mapN,""),
  _xlpm.S, _xlfn.XLOOKUP(H204,_xlpm.mapL,_xlpm.mapN,""),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04" s="63"/>
    </row>
    <row r="205" spans="1:11" ht="16">
      <c r="A205" s="40">
        <v>203</v>
      </c>
      <c r="B205" s="41"/>
      <c r="C205" s="52"/>
      <c r="D205" s="53"/>
      <c r="E205" s="56"/>
      <c r="F205" s="43"/>
      <c r="G205" s="41"/>
      <c r="H205" s="41"/>
      <c r="I205" s="41"/>
      <c r="J205" s="32" t="str" cm="1">
        <f t="array" ref="J205">_xlfn.LET(
  _xlpm.mapL, منابع!$H$11:$H$15,
  _xlpm.mapN, منابع!$I$11:$I$15,
  _xlpm.C, _xlfn.XLOOKUP(F205,_xlpm.mapL,_xlpm.mapN,""),
  _xlpm.G, _xlfn.XLOOKUP(G205,_xlpm.mapL,_xlpm.mapN,""),
  _xlpm.S, _xlfn.XLOOKUP(H205,_xlpm.mapL,_xlpm.mapN,""),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05" s="41"/>
    </row>
    <row r="206" spans="1:11" ht="16">
      <c r="A206" s="40">
        <v>204</v>
      </c>
      <c r="B206" s="41"/>
      <c r="C206" s="42"/>
      <c r="D206" s="43"/>
      <c r="E206" s="57"/>
      <c r="F206" s="43"/>
      <c r="G206" s="41"/>
      <c r="H206" s="41"/>
      <c r="I206" s="41"/>
      <c r="J206" s="32" t="str" cm="1">
        <f t="array" ref="J206">_xlfn.LET(
  _xlpm.mapL, منابع!$H$11:$H$15,
  _xlpm.mapN, منابع!$I$11:$I$15,
  _xlpm.C, _xlfn.XLOOKUP(F206,_xlpm.mapL,_xlpm.mapN,""),
  _xlpm.G, _xlfn.XLOOKUP(G206,_xlpm.mapL,_xlpm.mapN,""),
  _xlpm.S, _xlfn.XLOOKUP(H206,_xlpm.mapL,_xlpm.mapN,""),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06" s="63"/>
    </row>
    <row r="207" spans="1:11" ht="16">
      <c r="A207" s="40">
        <v>205</v>
      </c>
      <c r="B207" s="41"/>
      <c r="C207" s="42"/>
      <c r="D207" s="43"/>
      <c r="E207" s="57"/>
      <c r="F207" s="43"/>
      <c r="G207" s="41"/>
      <c r="H207" s="41"/>
      <c r="I207" s="41"/>
      <c r="J207" s="32" t="str" cm="1">
        <f t="array" ref="J207">_xlfn.LET(
  _xlpm.mapL, منابع!$H$11:$H$15,
  _xlpm.mapN, منابع!$I$11:$I$15,
  _xlpm.C, _xlfn.XLOOKUP(F207,_xlpm.mapL,_xlpm.mapN,""),
  _xlpm.G, _xlfn.XLOOKUP(G207,_xlpm.mapL,_xlpm.mapN,""),
  _xlpm.S, _xlfn.XLOOKUP(H207,_xlpm.mapL,_xlpm.mapN,""),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07" s="63"/>
    </row>
    <row r="208" spans="1:11">
      <c r="A208" s="40">
        <v>206</v>
      </c>
      <c r="B208" s="41"/>
      <c r="C208" s="42"/>
      <c r="D208" s="43"/>
      <c r="E208" s="58"/>
      <c r="F208" s="43"/>
      <c r="G208" s="41"/>
      <c r="H208" s="41"/>
      <c r="I208" s="41"/>
      <c r="J208" s="32" t="str" cm="1">
        <f t="array" ref="J208">_xlfn.LET(
  _xlpm.mapL, منابع!$H$11:$H$15,
  _xlpm.mapN, منابع!$I$11:$I$15,
  _xlpm.C, _xlfn.XLOOKUP(F208,_xlpm.mapL,_xlpm.mapN,""),
  _xlpm.G, _xlfn.XLOOKUP(G208,_xlpm.mapL,_xlpm.mapN,""),
  _xlpm.S, _xlfn.XLOOKUP(H208,_xlpm.mapL,_xlpm.mapN,""),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08" s="58"/>
    </row>
    <row r="209" spans="1:11" ht="16">
      <c r="A209" s="40">
        <v>207</v>
      </c>
      <c r="B209" s="41"/>
      <c r="C209" s="42"/>
      <c r="D209" s="43"/>
      <c r="E209" s="57"/>
      <c r="F209" s="43"/>
      <c r="G209" s="41"/>
      <c r="H209" s="41"/>
      <c r="I209" s="41"/>
      <c r="J209" s="32" t="str" cm="1">
        <f t="array" ref="J209">_xlfn.LET(
  _xlpm.mapL, منابع!$H$11:$H$15,
  _xlpm.mapN, منابع!$I$11:$I$15,
  _xlpm.C, _xlfn.XLOOKUP(F209,_xlpm.mapL,_xlpm.mapN,""),
  _xlpm.G, _xlfn.XLOOKUP(G209,_xlpm.mapL,_xlpm.mapN,""),
  _xlpm.S, _xlfn.XLOOKUP(H209,_xlpm.mapL,_xlpm.mapN,""),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09" s="63"/>
    </row>
    <row r="210" spans="1:11" ht="16">
      <c r="A210" s="40">
        <v>208</v>
      </c>
      <c r="B210" s="41"/>
      <c r="C210" s="42"/>
      <c r="D210" s="43"/>
      <c r="E210" s="57"/>
      <c r="F210" s="43"/>
      <c r="G210" s="41"/>
      <c r="H210" s="41"/>
      <c r="I210" s="41"/>
      <c r="J210" s="32" t="str" cm="1">
        <f t="array" ref="J210">_xlfn.LET(
  _xlpm.mapL, منابع!$H$11:$H$15,
  _xlpm.mapN, منابع!$I$11:$I$15,
  _xlpm.C, _xlfn.XLOOKUP(F210,_xlpm.mapL,_xlpm.mapN,""),
  _xlpm.G, _xlfn.XLOOKUP(G210,_xlpm.mapL,_xlpm.mapN,""),
  _xlpm.S, _xlfn.XLOOKUP(H210,_xlpm.mapL,_xlpm.mapN,""),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10" s="63"/>
    </row>
    <row r="211" spans="1:11" ht="16">
      <c r="A211" s="40">
        <v>209</v>
      </c>
      <c r="B211" s="41"/>
      <c r="C211" s="42"/>
      <c r="D211" s="59"/>
      <c r="E211" s="57"/>
      <c r="F211" s="43"/>
      <c r="G211" s="41"/>
      <c r="H211" s="41"/>
      <c r="I211" s="41"/>
      <c r="J211" s="32" t="str" cm="1">
        <f t="array" ref="J211">_xlfn.LET(
  _xlpm.mapL, منابع!$H$11:$H$15,
  _xlpm.mapN, منابع!$I$11:$I$15,
  _xlpm.C, _xlfn.XLOOKUP(F211,_xlpm.mapL,_xlpm.mapN,""),
  _xlpm.G, _xlfn.XLOOKUP(G211,_xlpm.mapL,_xlpm.mapN,""),
  _xlpm.S, _xlfn.XLOOKUP(H211,_xlpm.mapL,_xlpm.mapN,""),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11" s="63"/>
    </row>
    <row r="212" spans="1:11" ht="16">
      <c r="A212" s="40">
        <v>210</v>
      </c>
      <c r="B212" s="41"/>
      <c r="C212" s="42"/>
      <c r="D212" s="54"/>
      <c r="E212" s="57"/>
      <c r="F212" s="43"/>
      <c r="G212" s="41"/>
      <c r="H212" s="41"/>
      <c r="I212" s="41"/>
      <c r="J212" s="32" t="str" cm="1">
        <f t="array" ref="J212">_xlfn.LET(
  _xlpm.mapL, منابع!$H$11:$H$15,
  _xlpm.mapN, منابع!$I$11:$I$15,
  _xlpm.C, _xlfn.XLOOKUP(F212,_xlpm.mapL,_xlpm.mapN,""),
  _xlpm.G, _xlfn.XLOOKUP(G212,_xlpm.mapL,_xlpm.mapN,""),
  _xlpm.S, _xlfn.XLOOKUP(H212,_xlpm.mapL,_xlpm.mapN,""),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12" s="63"/>
    </row>
    <row r="213" spans="1:11" ht="16">
      <c r="A213" s="40">
        <v>211</v>
      </c>
      <c r="B213" s="41"/>
      <c r="C213" s="52"/>
      <c r="D213" s="53"/>
      <c r="E213" s="57"/>
      <c r="F213" s="43"/>
      <c r="G213" s="41"/>
      <c r="H213" s="41"/>
      <c r="I213" s="41"/>
      <c r="J213" s="32" t="str" cm="1">
        <f t="array" ref="J213">_xlfn.LET(
  _xlpm.mapL, منابع!$H$11:$H$15,
  _xlpm.mapN, منابع!$I$11:$I$15,
  _xlpm.C, _xlfn.XLOOKUP(F213,_xlpm.mapL,_xlpm.mapN,""),
  _xlpm.G, _xlfn.XLOOKUP(G213,_xlpm.mapL,_xlpm.mapN,""),
  _xlpm.S, _xlfn.XLOOKUP(H213,_xlpm.mapL,_xlpm.mapN,""),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13" s="63"/>
    </row>
    <row r="214" spans="1:11" ht="16">
      <c r="A214" s="40">
        <v>212</v>
      </c>
      <c r="B214" s="41"/>
      <c r="C214" s="42"/>
      <c r="D214" s="43"/>
      <c r="E214" s="57"/>
      <c r="F214" s="43"/>
      <c r="G214" s="41"/>
      <c r="H214" s="41"/>
      <c r="I214" s="41"/>
      <c r="J214" s="32" t="str" cm="1">
        <f t="array" ref="J214">_xlfn.LET(
  _xlpm.mapL, منابع!$H$11:$H$15,
  _xlpm.mapN, منابع!$I$11:$I$15,
  _xlpm.C, _xlfn.XLOOKUP(F214,_xlpm.mapL,_xlpm.mapN,""),
  _xlpm.G, _xlfn.XLOOKUP(G214,_xlpm.mapL,_xlpm.mapN,""),
  _xlpm.S, _xlfn.XLOOKUP(H214,_xlpm.mapL,_xlpm.mapN,""),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14" s="63"/>
    </row>
    <row r="215" spans="1:11" ht="16">
      <c r="A215" s="40">
        <v>213</v>
      </c>
      <c r="B215" s="41"/>
      <c r="C215" s="42"/>
      <c r="D215" s="43"/>
      <c r="E215" s="57"/>
      <c r="F215" s="43"/>
      <c r="G215" s="41"/>
      <c r="H215" s="41"/>
      <c r="I215" s="41"/>
      <c r="J215" s="32" t="str" cm="1">
        <f t="array" ref="J215">_xlfn.LET(
  _xlpm.mapL, منابع!$H$11:$H$15,
  _xlpm.mapN, منابع!$I$11:$I$15,
  _xlpm.C, _xlfn.XLOOKUP(F215,_xlpm.mapL,_xlpm.mapN,""),
  _xlpm.G, _xlfn.XLOOKUP(G215,_xlpm.mapL,_xlpm.mapN,""),
  _xlpm.S, _xlfn.XLOOKUP(H215,_xlpm.mapL,_xlpm.mapN,""),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15" s="63"/>
    </row>
    <row r="216" spans="1:11" ht="16">
      <c r="A216" s="40">
        <v>214</v>
      </c>
      <c r="B216" s="41"/>
      <c r="C216" s="42"/>
      <c r="D216" s="43"/>
      <c r="E216" s="57"/>
      <c r="F216" s="43"/>
      <c r="G216" s="41"/>
      <c r="H216" s="41"/>
      <c r="I216" s="41"/>
      <c r="J216" s="32" t="str" cm="1">
        <f t="array" ref="J216">_xlfn.LET(
  _xlpm.mapL, منابع!$H$11:$H$15,
  _xlpm.mapN, منابع!$I$11:$I$15,
  _xlpm.C, _xlfn.XLOOKUP(F216,_xlpm.mapL,_xlpm.mapN,""),
  _xlpm.G, _xlfn.XLOOKUP(G216,_xlpm.mapL,_xlpm.mapN,""),
  _xlpm.S, _xlfn.XLOOKUP(H216,_xlpm.mapL,_xlpm.mapN,""),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16" s="63"/>
    </row>
    <row r="217" spans="1:11">
      <c r="A217" s="40">
        <v>215</v>
      </c>
      <c r="B217" s="41"/>
      <c r="C217" s="42"/>
      <c r="D217" s="43"/>
      <c r="E217" s="44"/>
      <c r="F217" s="43"/>
      <c r="G217" s="41"/>
      <c r="H217" s="41"/>
      <c r="I217" s="41"/>
      <c r="J217" s="32" t="str" cm="1">
        <f t="array" ref="J217">_xlfn.LET(
  _xlpm.mapL, منابع!$H$11:$H$15,
  _xlpm.mapN, منابع!$I$11:$I$15,
  _xlpm.C, _xlfn.XLOOKUP(F217,_xlpm.mapL,_xlpm.mapN,""),
  _xlpm.G, _xlfn.XLOOKUP(G217,_xlpm.mapL,_xlpm.mapN,""),
  _xlpm.S, _xlfn.XLOOKUP(H217,_xlpm.mapL,_xlpm.mapN,""),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17" s="43"/>
    </row>
    <row r="218" spans="1:11">
      <c r="A218" s="40">
        <v>216</v>
      </c>
      <c r="B218" s="41"/>
      <c r="C218" s="42"/>
      <c r="D218" s="43"/>
      <c r="E218" s="44"/>
      <c r="F218" s="43"/>
      <c r="G218" s="41"/>
      <c r="H218" s="41"/>
      <c r="I218" s="41"/>
      <c r="J218" s="32" t="str" cm="1">
        <f t="array" ref="J218">_xlfn.LET(
  _xlpm.mapL, منابع!$H$11:$H$15,
  _xlpm.mapN, منابع!$I$11:$I$15,
  _xlpm.C, _xlfn.XLOOKUP(F218,_xlpm.mapL,_xlpm.mapN,""),
  _xlpm.G, _xlfn.XLOOKUP(G218,_xlpm.mapL,_xlpm.mapN,""),
  _xlpm.S, _xlfn.XLOOKUP(H218,_xlpm.mapL,_xlpm.mapN,""),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18" s="43"/>
    </row>
    <row r="219" spans="1:11">
      <c r="A219" s="40">
        <v>217</v>
      </c>
      <c r="B219" s="41"/>
      <c r="C219" s="42"/>
      <c r="D219" s="43"/>
      <c r="E219" s="44"/>
      <c r="F219" s="43"/>
      <c r="G219" s="41"/>
      <c r="H219" s="41"/>
      <c r="I219" s="41"/>
      <c r="J219" s="32" t="str" cm="1">
        <f t="array" ref="J219">_xlfn.LET(
  _xlpm.mapL, منابع!$H$11:$H$15,
  _xlpm.mapN, منابع!$I$11:$I$15,
  _xlpm.C, _xlfn.XLOOKUP(F219,_xlpm.mapL,_xlpm.mapN,""),
  _xlpm.G, _xlfn.XLOOKUP(G219,_xlpm.mapL,_xlpm.mapN,""),
  _xlpm.S, _xlfn.XLOOKUP(H219,_xlpm.mapL,_xlpm.mapN,""),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19" s="43"/>
    </row>
    <row r="220" spans="1:11">
      <c r="A220" s="40">
        <v>218</v>
      </c>
      <c r="B220" s="41"/>
      <c r="C220" s="42"/>
      <c r="D220" s="43"/>
      <c r="E220" s="44"/>
      <c r="F220" s="43"/>
      <c r="G220" s="41"/>
      <c r="H220" s="41"/>
      <c r="I220" s="41"/>
      <c r="J220" s="32" t="str" cm="1">
        <f t="array" ref="J220">_xlfn.LET(
  _xlpm.mapL, منابع!$H$11:$H$15,
  _xlpm.mapN, منابع!$I$11:$I$15,
  _xlpm.C, _xlfn.XLOOKUP(F220,_xlpm.mapL,_xlpm.mapN,""),
  _xlpm.G, _xlfn.XLOOKUP(G220,_xlpm.mapL,_xlpm.mapN,""),
  _xlpm.S, _xlfn.XLOOKUP(H220,_xlpm.mapL,_xlpm.mapN,""),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20" s="43"/>
    </row>
    <row r="221" spans="1:11">
      <c r="A221" s="40">
        <v>219</v>
      </c>
      <c r="B221" s="41"/>
      <c r="C221" s="52"/>
      <c r="D221" s="60"/>
      <c r="E221" s="44"/>
      <c r="F221" s="43"/>
      <c r="G221" s="41"/>
      <c r="H221" s="41"/>
      <c r="I221" s="41"/>
      <c r="J221" s="32" t="str" cm="1">
        <f t="array" ref="J221">_xlfn.LET(
  _xlpm.mapL, منابع!$H$11:$H$15,
  _xlpm.mapN, منابع!$I$11:$I$15,
  _xlpm.C, _xlfn.XLOOKUP(F221,_xlpm.mapL,_xlpm.mapN,""),
  _xlpm.G, _xlfn.XLOOKUP(G221,_xlpm.mapL,_xlpm.mapN,""),
  _xlpm.S, _xlfn.XLOOKUP(H221,_xlpm.mapL,_xlpm.mapN,""),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21" s="43"/>
    </row>
    <row r="222" spans="1:11">
      <c r="A222" s="40">
        <v>220</v>
      </c>
      <c r="B222" s="41"/>
      <c r="C222" s="42"/>
      <c r="D222" s="43"/>
      <c r="E222" s="44"/>
      <c r="F222" s="43"/>
      <c r="G222" s="41"/>
      <c r="H222" s="41"/>
      <c r="I222" s="41"/>
      <c r="J222" s="32" t="str" cm="1">
        <f t="array" ref="J222">_xlfn.LET(
  _xlpm.mapL, منابع!$H$11:$H$15,
  _xlpm.mapN, منابع!$I$11:$I$15,
  _xlpm.C, _xlfn.XLOOKUP(F222,_xlpm.mapL,_xlpm.mapN,""),
  _xlpm.G, _xlfn.XLOOKUP(G222,_xlpm.mapL,_xlpm.mapN,""),
  _xlpm.S, _xlfn.XLOOKUP(H222,_xlpm.mapL,_xlpm.mapN,""),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22" s="43"/>
    </row>
    <row r="223" spans="1:11">
      <c r="A223" s="40">
        <v>221</v>
      </c>
      <c r="B223" s="41"/>
      <c r="C223" s="42"/>
      <c r="D223" s="43"/>
      <c r="E223" s="44"/>
      <c r="F223" s="43"/>
      <c r="G223" s="41"/>
      <c r="H223" s="41"/>
      <c r="I223" s="41"/>
      <c r="J223" s="32" t="str" cm="1">
        <f t="array" ref="J223">_xlfn.LET(
  _xlpm.mapL, منابع!$H$11:$H$15,
  _xlpm.mapN, منابع!$I$11:$I$15,
  _xlpm.C, _xlfn.XLOOKUP(F223,_xlpm.mapL,_xlpm.mapN,""),
  _xlpm.G, _xlfn.XLOOKUP(G223,_xlpm.mapL,_xlpm.mapN,""),
  _xlpm.S, _xlfn.XLOOKUP(H223,_xlpm.mapL,_xlpm.mapN,""),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23" s="43"/>
    </row>
    <row r="224" spans="1:11">
      <c r="A224" s="40">
        <v>222</v>
      </c>
      <c r="B224" s="41"/>
      <c r="C224" s="42"/>
      <c r="D224" s="43"/>
      <c r="E224" s="44"/>
      <c r="F224" s="43"/>
      <c r="G224" s="41"/>
      <c r="H224" s="41"/>
      <c r="I224" s="41"/>
      <c r="J224" s="32" t="str" cm="1">
        <f t="array" ref="J224">_xlfn.LET(
  _xlpm.mapL, منابع!$H$11:$H$15,
  _xlpm.mapN, منابع!$I$11:$I$15,
  _xlpm.C, _xlfn.XLOOKUP(F224,_xlpm.mapL,_xlpm.mapN,""),
  _xlpm.G, _xlfn.XLOOKUP(G224,_xlpm.mapL,_xlpm.mapN,""),
  _xlpm.S, _xlfn.XLOOKUP(H224,_xlpm.mapL,_xlpm.mapN,""),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24" s="43"/>
    </row>
    <row r="225" spans="1:11">
      <c r="A225" s="40">
        <v>223</v>
      </c>
      <c r="B225" s="41"/>
      <c r="C225" s="42"/>
      <c r="D225" s="43"/>
      <c r="E225" s="44"/>
      <c r="F225" s="43"/>
      <c r="G225" s="41"/>
      <c r="H225" s="41"/>
      <c r="I225" s="41"/>
      <c r="J225" s="32" t="str" cm="1">
        <f t="array" ref="J225">_xlfn.LET(
  _xlpm.mapL, منابع!$H$11:$H$15,
  _xlpm.mapN, منابع!$I$11:$I$15,
  _xlpm.C, _xlfn.XLOOKUP(F225,_xlpm.mapL,_xlpm.mapN,""),
  _xlpm.G, _xlfn.XLOOKUP(G225,_xlpm.mapL,_xlpm.mapN,""),
  _xlpm.S, _xlfn.XLOOKUP(H225,_xlpm.mapL,_xlpm.mapN,""),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25" s="43"/>
    </row>
    <row r="226" spans="1:11">
      <c r="A226" s="40">
        <v>224</v>
      </c>
      <c r="B226" s="41"/>
      <c r="C226" s="42"/>
      <c r="D226" s="43"/>
      <c r="E226" s="44"/>
      <c r="F226" s="43"/>
      <c r="G226" s="41"/>
      <c r="H226" s="41"/>
      <c r="I226" s="41"/>
      <c r="J226" s="32" t="str" cm="1">
        <f t="array" ref="J226">_xlfn.LET(
  _xlpm.mapL, منابع!$H$11:$H$15,
  _xlpm.mapN, منابع!$I$11:$I$15,
  _xlpm.C, _xlfn.XLOOKUP(F226,_xlpm.mapL,_xlpm.mapN,""),
  _xlpm.G, _xlfn.XLOOKUP(G226,_xlpm.mapL,_xlpm.mapN,""),
  _xlpm.S, _xlfn.XLOOKUP(H226,_xlpm.mapL,_xlpm.mapN,""),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26" s="43"/>
    </row>
    <row r="227" spans="1:11">
      <c r="A227" s="40">
        <v>225</v>
      </c>
      <c r="B227" s="41"/>
      <c r="C227" s="42"/>
      <c r="D227" s="43"/>
      <c r="E227" s="44"/>
      <c r="F227" s="43"/>
      <c r="G227" s="41"/>
      <c r="H227" s="41"/>
      <c r="I227" s="41"/>
      <c r="J227" s="32" t="str" cm="1">
        <f t="array" ref="J227">_xlfn.LET(
  _xlpm.mapL, منابع!$H$11:$H$15,
  _xlpm.mapN, منابع!$I$11:$I$15,
  _xlpm.C, _xlfn.XLOOKUP(F227,_xlpm.mapL,_xlpm.mapN,""),
  _xlpm.G, _xlfn.XLOOKUP(G227,_xlpm.mapL,_xlpm.mapN,""),
  _xlpm.S, _xlfn.XLOOKUP(H227,_xlpm.mapL,_xlpm.mapN,""),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27" s="43"/>
    </row>
    <row r="228" spans="1:11">
      <c r="A228" s="40">
        <v>226</v>
      </c>
      <c r="B228" s="41"/>
      <c r="C228" s="42"/>
      <c r="D228" s="43"/>
      <c r="E228" s="44"/>
      <c r="F228" s="43"/>
      <c r="G228" s="41"/>
      <c r="H228" s="41"/>
      <c r="I228" s="41"/>
      <c r="J228" s="32" t="str" cm="1">
        <f t="array" ref="J228">_xlfn.LET(
  _xlpm.mapL, منابع!$H$11:$H$15,
  _xlpm.mapN, منابع!$I$11:$I$15,
  _xlpm.C, _xlfn.XLOOKUP(F228,_xlpm.mapL,_xlpm.mapN,""),
  _xlpm.G, _xlfn.XLOOKUP(G228,_xlpm.mapL,_xlpm.mapN,""),
  _xlpm.S, _xlfn.XLOOKUP(H228,_xlpm.mapL,_xlpm.mapN,""),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28" s="43"/>
    </row>
    <row r="229" spans="1:11">
      <c r="A229" s="40">
        <v>227</v>
      </c>
      <c r="B229" s="41"/>
      <c r="C229" s="52"/>
      <c r="D229" s="53"/>
      <c r="E229" s="44"/>
      <c r="F229" s="43"/>
      <c r="G229" s="41"/>
      <c r="H229" s="41"/>
      <c r="I229" s="41"/>
      <c r="J229" s="32" t="str" cm="1">
        <f t="array" ref="J229">_xlfn.LET(
  _xlpm.mapL, منابع!$H$11:$H$15,
  _xlpm.mapN, منابع!$I$11:$I$15,
  _xlpm.C, _xlfn.XLOOKUP(F229,_xlpm.mapL,_xlpm.mapN,""),
  _xlpm.G, _xlfn.XLOOKUP(G229,_xlpm.mapL,_xlpm.mapN,""),
  _xlpm.S, _xlfn.XLOOKUP(H229,_xlpm.mapL,_xlpm.mapN,""),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29" s="43"/>
    </row>
    <row r="230" spans="1:11">
      <c r="A230" s="40">
        <v>228</v>
      </c>
      <c r="B230" s="41"/>
      <c r="C230" s="42"/>
      <c r="D230" s="43"/>
      <c r="E230" s="44"/>
      <c r="F230" s="43"/>
      <c r="G230" s="41"/>
      <c r="H230" s="41"/>
      <c r="I230" s="41"/>
      <c r="J230" s="32" t="str" cm="1">
        <f t="array" ref="J230">_xlfn.LET(
  _xlpm.mapL, منابع!$H$11:$H$15,
  _xlpm.mapN, منابع!$I$11:$I$15,
  _xlpm.C, _xlfn.XLOOKUP(F230,_xlpm.mapL,_xlpm.mapN,""),
  _xlpm.G, _xlfn.XLOOKUP(G230,_xlpm.mapL,_xlpm.mapN,""),
  _xlpm.S, _xlfn.XLOOKUP(H230,_xlpm.mapL,_xlpm.mapN,""),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30" s="43"/>
    </row>
    <row r="231" spans="1:11">
      <c r="A231" s="40">
        <v>229</v>
      </c>
      <c r="B231" s="41"/>
      <c r="C231" s="42"/>
      <c r="D231" s="43"/>
      <c r="E231" s="44"/>
      <c r="F231" s="43"/>
      <c r="G231" s="41"/>
      <c r="H231" s="41"/>
      <c r="I231" s="41"/>
      <c r="J231" s="32" t="str" cm="1">
        <f t="array" ref="J231">_xlfn.LET(
  _xlpm.mapL, منابع!$H$11:$H$15,
  _xlpm.mapN, منابع!$I$11:$I$15,
  _xlpm.C, _xlfn.XLOOKUP(F231,_xlpm.mapL,_xlpm.mapN,""),
  _xlpm.G, _xlfn.XLOOKUP(G231,_xlpm.mapL,_xlpm.mapN,""),
  _xlpm.S, _xlfn.XLOOKUP(H231,_xlpm.mapL,_xlpm.mapN,""),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31" s="43"/>
    </row>
    <row r="232" spans="1:11">
      <c r="A232" s="40">
        <v>230</v>
      </c>
      <c r="B232" s="41"/>
      <c r="C232" s="42"/>
      <c r="D232" s="43"/>
      <c r="E232" s="44"/>
      <c r="F232" s="43"/>
      <c r="G232" s="41"/>
      <c r="H232" s="41"/>
      <c r="I232" s="41"/>
      <c r="J232" s="32" t="str" cm="1">
        <f t="array" ref="J232">_xlfn.LET(
  _xlpm.mapL, منابع!$H$11:$H$15,
  _xlpm.mapN, منابع!$I$11:$I$15,
  _xlpm.C, _xlfn.XLOOKUP(F232,_xlpm.mapL,_xlpm.mapN,""),
  _xlpm.G, _xlfn.XLOOKUP(G232,_xlpm.mapL,_xlpm.mapN,""),
  _xlpm.S, _xlfn.XLOOKUP(H232,_xlpm.mapL,_xlpm.mapN,""),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32" s="43"/>
    </row>
    <row r="233" spans="1:11">
      <c r="A233" s="40">
        <v>231</v>
      </c>
      <c r="B233" s="41"/>
      <c r="C233" s="42"/>
      <c r="D233" s="43"/>
      <c r="E233" s="44"/>
      <c r="F233" s="43"/>
      <c r="G233" s="41"/>
      <c r="H233" s="41"/>
      <c r="I233" s="41"/>
      <c r="J233" s="32" t="str" cm="1">
        <f t="array" ref="J233">_xlfn.LET(
  _xlpm.mapL, منابع!$H$11:$H$15,
  _xlpm.mapN, منابع!$I$11:$I$15,
  _xlpm.C, _xlfn.XLOOKUP(F233,_xlpm.mapL,_xlpm.mapN,""),
  _xlpm.G, _xlfn.XLOOKUP(G233,_xlpm.mapL,_xlpm.mapN,""),
  _xlpm.S, _xlfn.XLOOKUP(H233,_xlpm.mapL,_xlpm.mapN,""),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33" s="43"/>
    </row>
    <row r="234" spans="1:11">
      <c r="A234" s="40">
        <v>232</v>
      </c>
      <c r="B234" s="41"/>
      <c r="C234" s="42"/>
      <c r="D234" s="43"/>
      <c r="E234" s="44"/>
      <c r="F234" s="43"/>
      <c r="G234" s="41"/>
      <c r="H234" s="41"/>
      <c r="I234" s="41"/>
      <c r="J234" s="32" t="str" cm="1">
        <f t="array" ref="J234">_xlfn.LET(
  _xlpm.mapL, منابع!$H$11:$H$15,
  _xlpm.mapN, منابع!$I$11:$I$15,
  _xlpm.C, _xlfn.XLOOKUP(F234,_xlpm.mapL,_xlpm.mapN,""),
  _xlpm.G, _xlfn.XLOOKUP(G234,_xlpm.mapL,_xlpm.mapN,""),
  _xlpm.S, _xlfn.XLOOKUP(H234,_xlpm.mapL,_xlpm.mapN,""),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34" s="43"/>
    </row>
    <row r="235" spans="1:11">
      <c r="A235" s="40">
        <v>233</v>
      </c>
      <c r="B235" s="41"/>
      <c r="C235" s="42"/>
      <c r="D235" s="43"/>
      <c r="E235" s="44"/>
      <c r="F235" s="43"/>
      <c r="G235" s="41"/>
      <c r="H235" s="41"/>
      <c r="I235" s="41"/>
      <c r="J235" s="32" t="str" cm="1">
        <f t="array" ref="J235">_xlfn.LET(
  _xlpm.mapL, منابع!$H$11:$H$15,
  _xlpm.mapN, منابع!$I$11:$I$15,
  _xlpm.C, _xlfn.XLOOKUP(F235,_xlpm.mapL,_xlpm.mapN,""),
  _xlpm.G, _xlfn.XLOOKUP(G235,_xlpm.mapL,_xlpm.mapN,""),
  _xlpm.S, _xlfn.XLOOKUP(H235,_xlpm.mapL,_xlpm.mapN,""),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35" s="43"/>
    </row>
    <row r="236" spans="1:11">
      <c r="A236" s="40">
        <v>234</v>
      </c>
      <c r="B236" s="41"/>
      <c r="C236" s="42"/>
      <c r="D236" s="43"/>
      <c r="E236" s="44"/>
      <c r="F236" s="43"/>
      <c r="G236" s="41"/>
      <c r="H236" s="41"/>
      <c r="I236" s="41"/>
      <c r="J236" s="32" t="str" cm="1">
        <f t="array" ref="J236">_xlfn.LET(
  _xlpm.mapL, منابع!$H$11:$H$15,
  _xlpm.mapN, منابع!$I$11:$I$15,
  _xlpm.C, _xlfn.XLOOKUP(F236,_xlpm.mapL,_xlpm.mapN,""),
  _xlpm.G, _xlfn.XLOOKUP(G236,_xlpm.mapL,_xlpm.mapN,""),
  _xlpm.S, _xlfn.XLOOKUP(H236,_xlpm.mapL,_xlpm.mapN,""),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36" s="43"/>
    </row>
    <row r="237" spans="1:11">
      <c r="A237" s="40">
        <v>235</v>
      </c>
      <c r="B237" s="41"/>
      <c r="C237" s="52"/>
      <c r="D237" s="53"/>
      <c r="E237" s="44"/>
      <c r="F237" s="43"/>
      <c r="G237" s="41"/>
      <c r="H237" s="41"/>
      <c r="I237" s="41"/>
      <c r="J237" s="32" t="str" cm="1">
        <f t="array" ref="J237">_xlfn.LET(
  _xlpm.mapL, منابع!$H$11:$H$15,
  _xlpm.mapN, منابع!$I$11:$I$15,
  _xlpm.C, _xlfn.XLOOKUP(F237,_xlpm.mapL,_xlpm.mapN,""),
  _xlpm.G, _xlfn.XLOOKUP(G237,_xlpm.mapL,_xlpm.mapN,""),
  _xlpm.S, _xlfn.XLOOKUP(H237,_xlpm.mapL,_xlpm.mapN,""),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37" s="43"/>
    </row>
    <row r="238" spans="1:11">
      <c r="A238" s="40">
        <v>236</v>
      </c>
      <c r="B238" s="41"/>
      <c r="C238" s="42"/>
      <c r="D238" s="43"/>
      <c r="E238" s="44"/>
      <c r="F238" s="43"/>
      <c r="G238" s="41"/>
      <c r="H238" s="41"/>
      <c r="I238" s="41"/>
      <c r="J238" s="32" t="str" cm="1">
        <f t="array" ref="J238">_xlfn.LET(
  _xlpm.mapL, منابع!$H$11:$H$15,
  _xlpm.mapN, منابع!$I$11:$I$15,
  _xlpm.C, _xlfn.XLOOKUP(F238,_xlpm.mapL,_xlpm.mapN,""),
  _xlpm.G, _xlfn.XLOOKUP(G238,_xlpm.mapL,_xlpm.mapN,""),
  _xlpm.S, _xlfn.XLOOKUP(H238,_xlpm.mapL,_xlpm.mapN,""),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38" s="43"/>
    </row>
    <row r="239" spans="1:11">
      <c r="A239" s="40">
        <v>237</v>
      </c>
      <c r="B239" s="41"/>
      <c r="C239" s="42"/>
      <c r="D239" s="43"/>
      <c r="E239" s="44"/>
      <c r="F239" s="43"/>
      <c r="G239" s="41"/>
      <c r="H239" s="41"/>
      <c r="I239" s="41"/>
      <c r="J239" s="32" t="str" cm="1">
        <f t="array" ref="J239">_xlfn.LET(
  _xlpm.mapL, منابع!$H$11:$H$15,
  _xlpm.mapN, منابع!$I$11:$I$15,
  _xlpm.C, _xlfn.XLOOKUP(F239,_xlpm.mapL,_xlpm.mapN,""),
  _xlpm.G, _xlfn.XLOOKUP(G239,_xlpm.mapL,_xlpm.mapN,""),
  _xlpm.S, _xlfn.XLOOKUP(H239,_xlpm.mapL,_xlpm.mapN,""),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39" s="43"/>
    </row>
    <row r="240" spans="1:11">
      <c r="A240" s="40">
        <v>238</v>
      </c>
      <c r="B240" s="41"/>
      <c r="C240" s="42"/>
      <c r="D240" s="43"/>
      <c r="E240" s="44"/>
      <c r="F240" s="43"/>
      <c r="G240" s="41"/>
      <c r="H240" s="41"/>
      <c r="I240" s="41"/>
      <c r="J240" s="32" t="str" cm="1">
        <f t="array" ref="J240">_xlfn.LET(
  _xlpm.mapL, منابع!$H$11:$H$15,
  _xlpm.mapN, منابع!$I$11:$I$15,
  _xlpm.C, _xlfn.XLOOKUP(F240,_xlpm.mapL,_xlpm.mapN,""),
  _xlpm.G, _xlfn.XLOOKUP(G240,_xlpm.mapL,_xlpm.mapN,""),
  _xlpm.S, _xlfn.XLOOKUP(H240,_xlpm.mapL,_xlpm.mapN,""),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40" s="43"/>
    </row>
    <row r="241" spans="1:11">
      <c r="A241" s="40">
        <v>239</v>
      </c>
      <c r="B241" s="41"/>
      <c r="C241" s="42"/>
      <c r="D241" s="43"/>
      <c r="E241" s="44"/>
      <c r="F241" s="43"/>
      <c r="G241" s="41"/>
      <c r="H241" s="41"/>
      <c r="I241" s="41"/>
      <c r="J241" s="32" t="str" cm="1">
        <f t="array" ref="J241">_xlfn.LET(
  _xlpm.mapL, منابع!$H$11:$H$15,
  _xlpm.mapN, منابع!$I$11:$I$15,
  _xlpm.C, _xlfn.XLOOKUP(F241,_xlpm.mapL,_xlpm.mapN,""),
  _xlpm.G, _xlfn.XLOOKUP(G241,_xlpm.mapL,_xlpm.mapN,""),
  _xlpm.S, _xlfn.XLOOKUP(H241,_xlpm.mapL,_xlpm.mapN,""),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41" s="43"/>
    </row>
    <row r="242" spans="1:11">
      <c r="A242" s="40">
        <v>240</v>
      </c>
      <c r="B242" s="41"/>
      <c r="C242" s="42"/>
      <c r="D242" s="43"/>
      <c r="E242" s="44"/>
      <c r="F242" s="43"/>
      <c r="G242" s="41"/>
      <c r="H242" s="41"/>
      <c r="I242" s="41"/>
      <c r="J242" s="32" t="str" cm="1">
        <f t="array" ref="J242">_xlfn.LET(
  _xlpm.mapL, منابع!$H$11:$H$15,
  _xlpm.mapN, منابع!$I$11:$I$15,
  _xlpm.C, _xlfn.XLOOKUP(F242,_xlpm.mapL,_xlpm.mapN,""),
  _xlpm.G, _xlfn.XLOOKUP(G242,_xlpm.mapL,_xlpm.mapN,""),
  _xlpm.S, _xlfn.XLOOKUP(H242,_xlpm.mapL,_xlpm.mapN,""),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42" s="43"/>
    </row>
    <row r="243" spans="1:11">
      <c r="A243" s="40">
        <v>241</v>
      </c>
      <c r="B243" s="41"/>
      <c r="C243" s="42"/>
      <c r="D243" s="43"/>
      <c r="E243" s="44"/>
      <c r="F243" s="43"/>
      <c r="G243" s="41"/>
      <c r="H243" s="41"/>
      <c r="I243" s="41"/>
      <c r="J243" s="32" t="str" cm="1">
        <f t="array" ref="J243">_xlfn.LET(
  _xlpm.mapL, منابع!$H$11:$H$15,
  _xlpm.mapN, منابع!$I$11:$I$15,
  _xlpm.C, _xlfn.XLOOKUP(F243,_xlpm.mapL,_xlpm.mapN,""),
  _xlpm.G, _xlfn.XLOOKUP(G243,_xlpm.mapL,_xlpm.mapN,""),
  _xlpm.S, _xlfn.XLOOKUP(H243,_xlpm.mapL,_xlpm.mapN,""),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43" s="43"/>
    </row>
    <row r="244" spans="1:11">
      <c r="A244" s="40">
        <v>242</v>
      </c>
      <c r="B244" s="41"/>
      <c r="C244" s="42"/>
      <c r="D244" s="43"/>
      <c r="E244" s="44"/>
      <c r="F244" s="43"/>
      <c r="G244" s="41"/>
      <c r="H244" s="41"/>
      <c r="I244" s="41"/>
      <c r="J244" s="32" t="str" cm="1">
        <f t="array" ref="J244">_xlfn.LET(
  _xlpm.mapL, منابع!$H$11:$H$15,
  _xlpm.mapN, منابع!$I$11:$I$15,
  _xlpm.C, _xlfn.XLOOKUP(F244,_xlpm.mapL,_xlpm.mapN,""),
  _xlpm.G, _xlfn.XLOOKUP(G244,_xlpm.mapL,_xlpm.mapN,""),
  _xlpm.S, _xlfn.XLOOKUP(H244,_xlpm.mapL,_xlpm.mapN,""),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44" s="43"/>
    </row>
    <row r="245" spans="1:11">
      <c r="A245" s="40">
        <v>243</v>
      </c>
      <c r="B245" s="41"/>
      <c r="C245" s="42"/>
      <c r="D245" s="43"/>
      <c r="E245" s="44"/>
      <c r="F245" s="43"/>
      <c r="G245" s="41"/>
      <c r="H245" s="41"/>
      <c r="I245" s="41"/>
      <c r="J245" s="32" t="str" cm="1">
        <f t="array" ref="J245">_xlfn.LET(
  _xlpm.mapL, منابع!$H$11:$H$15,
  _xlpm.mapN, منابع!$I$11:$I$15,
  _xlpm.C, _xlfn.XLOOKUP(F245,_xlpm.mapL,_xlpm.mapN,""),
  _xlpm.G, _xlfn.XLOOKUP(G245,_xlpm.mapL,_xlpm.mapN,""),
  _xlpm.S, _xlfn.XLOOKUP(H245,_xlpm.mapL,_xlpm.mapN,""),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45" s="43"/>
    </row>
    <row r="246" spans="1:11">
      <c r="A246" s="40">
        <v>244</v>
      </c>
      <c r="B246" s="41"/>
      <c r="C246" s="42"/>
      <c r="D246" s="43"/>
      <c r="E246" s="44"/>
      <c r="F246" s="43"/>
      <c r="G246" s="41"/>
      <c r="H246" s="41"/>
      <c r="I246" s="41"/>
      <c r="J246" s="32" t="str" cm="1">
        <f t="array" ref="J246">_xlfn.LET(
  _xlpm.mapL, منابع!$H$11:$H$15,
  _xlpm.mapN, منابع!$I$11:$I$15,
  _xlpm.C, _xlfn.XLOOKUP(F246,_xlpm.mapL,_xlpm.mapN,""),
  _xlpm.G, _xlfn.XLOOKUP(G246,_xlpm.mapL,_xlpm.mapN,""),
  _xlpm.S, _xlfn.XLOOKUP(H246,_xlpm.mapL,_xlpm.mapN,""),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46" s="43"/>
    </row>
    <row r="247" spans="1:11">
      <c r="A247" s="40">
        <v>245</v>
      </c>
      <c r="B247" s="41"/>
      <c r="C247" s="42"/>
      <c r="D247" s="43"/>
      <c r="E247" s="44"/>
      <c r="F247" s="43"/>
      <c r="G247" s="41"/>
      <c r="H247" s="41"/>
      <c r="I247" s="41"/>
      <c r="J247" s="32" t="str" cm="1">
        <f t="array" ref="J247">_xlfn.LET(
  _xlpm.mapL, منابع!$H$11:$H$15,
  _xlpm.mapN, منابع!$I$11:$I$15,
  _xlpm.C, _xlfn.XLOOKUP(F247,_xlpm.mapL,_xlpm.mapN,""),
  _xlpm.G, _xlfn.XLOOKUP(G247,_xlpm.mapL,_xlpm.mapN,""),
  _xlpm.S, _xlfn.XLOOKUP(H247,_xlpm.mapL,_xlpm.mapN,""),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47" s="43"/>
    </row>
    <row r="248" spans="1:11">
      <c r="A248" s="40">
        <v>246</v>
      </c>
      <c r="B248" s="41"/>
      <c r="C248" s="42"/>
      <c r="D248" s="43"/>
      <c r="E248" s="44"/>
      <c r="F248" s="43"/>
      <c r="G248" s="41"/>
      <c r="H248" s="41"/>
      <c r="I248" s="41"/>
      <c r="J248" s="32" t="str" cm="1">
        <f t="array" ref="J248">_xlfn.LET(
  _xlpm.mapL, منابع!$H$11:$H$15,
  _xlpm.mapN, منابع!$I$11:$I$15,
  _xlpm.C, _xlfn.XLOOKUP(F248,_xlpm.mapL,_xlpm.mapN,""),
  _xlpm.G, _xlfn.XLOOKUP(G248,_xlpm.mapL,_xlpm.mapN,""),
  _xlpm.S, _xlfn.XLOOKUP(H248,_xlpm.mapL,_xlpm.mapN,""),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48" s="43"/>
    </row>
    <row r="249" spans="1:11">
      <c r="A249" s="40">
        <v>247</v>
      </c>
      <c r="B249" s="41"/>
      <c r="C249" s="42"/>
      <c r="D249" s="43"/>
      <c r="E249" s="44"/>
      <c r="F249" s="43"/>
      <c r="G249" s="41"/>
      <c r="H249" s="41"/>
      <c r="I249" s="41"/>
      <c r="J249" s="32" t="str" cm="1">
        <f t="array" ref="J249">_xlfn.LET(
  _xlpm.mapL, منابع!$H$11:$H$15,
  _xlpm.mapN, منابع!$I$11:$I$15,
  _xlpm.C, _xlfn.XLOOKUP(F249,_xlpm.mapL,_xlpm.mapN,""),
  _xlpm.G, _xlfn.XLOOKUP(G249,_xlpm.mapL,_xlpm.mapN,""),
  _xlpm.S, _xlfn.XLOOKUP(H249,_xlpm.mapL,_xlpm.mapN,""),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49" s="43"/>
    </row>
    <row r="250" spans="1:11">
      <c r="A250" s="40">
        <v>248</v>
      </c>
      <c r="B250" s="41"/>
      <c r="C250" s="42"/>
      <c r="D250" s="43"/>
      <c r="E250" s="44"/>
      <c r="F250" s="43"/>
      <c r="G250" s="41"/>
      <c r="H250" s="41"/>
      <c r="I250" s="41"/>
      <c r="J250" s="32" t="str" cm="1">
        <f t="array" ref="J250">_xlfn.LET(
  _xlpm.mapL, منابع!$H$11:$H$15,
  _xlpm.mapN, منابع!$I$11:$I$15,
  _xlpm.C, _xlfn.XLOOKUP(F250,_xlpm.mapL,_xlpm.mapN,""),
  _xlpm.G, _xlfn.XLOOKUP(G250,_xlpm.mapL,_xlpm.mapN,""),
  _xlpm.S, _xlfn.XLOOKUP(H250,_xlpm.mapL,_xlpm.mapN,""),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50" s="43"/>
    </row>
    <row r="251" spans="1:11">
      <c r="A251" s="40">
        <v>249</v>
      </c>
      <c r="B251" s="41"/>
      <c r="C251" s="42"/>
      <c r="D251" s="43"/>
      <c r="E251" s="44"/>
      <c r="F251" s="43"/>
      <c r="G251" s="41"/>
      <c r="H251" s="41"/>
      <c r="I251" s="41"/>
      <c r="J251" s="32" t="str" cm="1">
        <f t="array" ref="J251">_xlfn.LET(
  _xlpm.mapL, منابع!$H$11:$H$15,
  _xlpm.mapN, منابع!$I$11:$I$15,
  _xlpm.C, _xlfn.XLOOKUP(F251,_xlpm.mapL,_xlpm.mapN,""),
  _xlpm.G, _xlfn.XLOOKUP(G251,_xlpm.mapL,_xlpm.mapN,""),
  _xlpm.S, _xlfn.XLOOKUP(H251,_xlpm.mapL,_xlpm.mapN,""),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51" s="43"/>
    </row>
    <row r="252" spans="1:11">
      <c r="A252" s="40">
        <v>250</v>
      </c>
      <c r="B252" s="41"/>
      <c r="C252" s="42"/>
      <c r="D252" s="43"/>
      <c r="E252" s="44"/>
      <c r="F252" s="43"/>
      <c r="G252" s="41"/>
      <c r="H252" s="41"/>
      <c r="I252" s="41"/>
      <c r="J252" s="32" t="str" cm="1">
        <f t="array" ref="J252">_xlfn.LET(
  _xlpm.mapL, منابع!$H$11:$H$15,
  _xlpm.mapN, منابع!$I$11:$I$15,
  _xlpm.C, _xlfn.XLOOKUP(F252,_xlpm.mapL,_xlpm.mapN,""),
  _xlpm.G, _xlfn.XLOOKUP(G252,_xlpm.mapL,_xlpm.mapN,""),
  _xlpm.S, _xlfn.XLOOKUP(H252,_xlpm.mapL,_xlpm.mapN,""),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52" s="43"/>
    </row>
    <row r="253" spans="1:11">
      <c r="A253" s="40">
        <v>251</v>
      </c>
      <c r="B253" s="41"/>
      <c r="C253" s="42"/>
      <c r="D253" s="43"/>
      <c r="E253" s="44"/>
      <c r="F253" s="43"/>
      <c r="G253" s="41"/>
      <c r="H253" s="41"/>
      <c r="I253" s="41"/>
      <c r="J253" s="32" t="str" cm="1">
        <f t="array" ref="J253">_xlfn.LET(
  _xlpm.mapL, منابع!$H$11:$H$15,
  _xlpm.mapN, منابع!$I$11:$I$15,
  _xlpm.C, _xlfn.XLOOKUP(F253,_xlpm.mapL,_xlpm.mapN,""),
  _xlpm.G, _xlfn.XLOOKUP(G253,_xlpm.mapL,_xlpm.mapN,""),
  _xlpm.S, _xlfn.XLOOKUP(H253,_xlpm.mapL,_xlpm.mapN,""),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53" s="43"/>
    </row>
    <row r="254" spans="1:11">
      <c r="A254" s="40">
        <v>252</v>
      </c>
      <c r="B254" s="41"/>
      <c r="C254" s="42"/>
      <c r="D254" s="43"/>
      <c r="E254" s="44"/>
      <c r="F254" s="43"/>
      <c r="G254" s="41"/>
      <c r="H254" s="41"/>
      <c r="I254" s="41"/>
      <c r="J254" s="32" t="str" cm="1">
        <f t="array" ref="J254">_xlfn.LET(
  _xlpm.mapL, منابع!$H$11:$H$15,
  _xlpm.mapN, منابع!$I$11:$I$15,
  _xlpm.C, _xlfn.XLOOKUP(F254,_xlpm.mapL,_xlpm.mapN,""),
  _xlpm.G, _xlfn.XLOOKUP(G254,_xlpm.mapL,_xlpm.mapN,""),
  _xlpm.S, _xlfn.XLOOKUP(H254,_xlpm.mapL,_xlpm.mapN,""),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54" s="43"/>
    </row>
    <row r="255" spans="1:11">
      <c r="A255" s="40">
        <v>253</v>
      </c>
      <c r="B255" s="41"/>
      <c r="C255" s="42"/>
      <c r="D255" s="43"/>
      <c r="E255" s="44"/>
      <c r="F255" s="43"/>
      <c r="G255" s="41"/>
      <c r="H255" s="41"/>
      <c r="I255" s="41"/>
      <c r="J255" s="32" t="str" cm="1">
        <f t="array" ref="J255">_xlfn.LET(
  _xlpm.mapL, منابع!$H$11:$H$15,
  _xlpm.mapN, منابع!$I$11:$I$15,
  _xlpm.C, _xlfn.XLOOKUP(F255,_xlpm.mapL,_xlpm.mapN,""),
  _xlpm.G, _xlfn.XLOOKUP(G255,_xlpm.mapL,_xlpm.mapN,""),
  _xlpm.S, _xlfn.XLOOKUP(H255,_xlpm.mapL,_xlpm.mapN,""),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55" s="43"/>
    </row>
    <row r="256" spans="1:11">
      <c r="A256" s="40">
        <v>254</v>
      </c>
      <c r="B256" s="41"/>
      <c r="C256" s="42"/>
      <c r="D256" s="43"/>
      <c r="E256" s="44"/>
      <c r="F256" s="43"/>
      <c r="G256" s="41"/>
      <c r="H256" s="41"/>
      <c r="I256" s="41"/>
      <c r="J256" s="32" t="str" cm="1">
        <f t="array" ref="J256">_xlfn.LET(
  _xlpm.mapL, منابع!$H$11:$H$15,
  _xlpm.mapN, منابع!$I$11:$I$15,
  _xlpm.C, _xlfn.XLOOKUP(F256,_xlpm.mapL,_xlpm.mapN,""),
  _xlpm.G, _xlfn.XLOOKUP(G256,_xlpm.mapL,_xlpm.mapN,""),
  _xlpm.S, _xlfn.XLOOKUP(H256,_xlpm.mapL,_xlpm.mapN,""),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56" s="43"/>
    </row>
    <row r="257" spans="1:11">
      <c r="A257" s="40">
        <v>255</v>
      </c>
      <c r="B257" s="41"/>
      <c r="C257" s="42"/>
      <c r="D257" s="43"/>
      <c r="E257" s="44"/>
      <c r="F257" s="43"/>
      <c r="G257" s="41"/>
      <c r="H257" s="41"/>
      <c r="I257" s="41"/>
      <c r="J257" s="32" t="str" cm="1">
        <f t="array" ref="J257">_xlfn.LET(
  _xlpm.mapL, منابع!$H$11:$H$15,
  _xlpm.mapN, منابع!$I$11:$I$15,
  _xlpm.C, _xlfn.XLOOKUP(F257,_xlpm.mapL,_xlpm.mapN,""),
  _xlpm.G, _xlfn.XLOOKUP(G257,_xlpm.mapL,_xlpm.mapN,""),
  _xlpm.S, _xlfn.XLOOKUP(H257,_xlpm.mapL,_xlpm.mapN,""),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57" s="43"/>
    </row>
    <row r="258" spans="1:11">
      <c r="A258" s="40">
        <v>256</v>
      </c>
      <c r="B258" s="41"/>
      <c r="C258" s="42"/>
      <c r="D258" s="43"/>
      <c r="E258" s="44"/>
      <c r="F258" s="43"/>
      <c r="G258" s="41"/>
      <c r="H258" s="41"/>
      <c r="I258" s="41"/>
      <c r="J258" s="32" t="str" cm="1">
        <f t="array" ref="J258">_xlfn.LET(
  _xlpm.mapL, منابع!$H$11:$H$15,
  _xlpm.mapN, منابع!$I$11:$I$15,
  _xlpm.C, _xlfn.XLOOKUP(F258,_xlpm.mapL,_xlpm.mapN,""),
  _xlpm.G, _xlfn.XLOOKUP(G258,_xlpm.mapL,_xlpm.mapN,""),
  _xlpm.S, _xlfn.XLOOKUP(H258,_xlpm.mapL,_xlpm.mapN,""),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58" s="43"/>
    </row>
    <row r="259" spans="1:11">
      <c r="A259" s="40">
        <v>257</v>
      </c>
      <c r="B259" s="41"/>
      <c r="C259" s="42"/>
      <c r="D259" s="43"/>
      <c r="E259" s="44"/>
      <c r="F259" s="43"/>
      <c r="G259" s="41"/>
      <c r="H259" s="41"/>
      <c r="I259" s="41"/>
      <c r="J259" s="32" t="str" cm="1">
        <f t="array" ref="J259">_xlfn.LET(
  _xlpm.mapL, منابع!$H$11:$H$15,
  _xlpm.mapN, منابع!$I$11:$I$15,
  _xlpm.C, _xlfn.XLOOKUP(F259,_xlpm.mapL,_xlpm.mapN,""),
  _xlpm.G, _xlfn.XLOOKUP(G259,_xlpm.mapL,_xlpm.mapN,""),
  _xlpm.S, _xlfn.XLOOKUP(H259,_xlpm.mapL,_xlpm.mapN,""),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59" s="43"/>
    </row>
    <row r="260" spans="1:11">
      <c r="A260" s="40">
        <v>258</v>
      </c>
      <c r="B260" s="41"/>
      <c r="C260" s="42"/>
      <c r="D260" s="43"/>
      <c r="E260" s="44"/>
      <c r="F260" s="43"/>
      <c r="G260" s="41"/>
      <c r="H260" s="41"/>
      <c r="I260" s="41"/>
      <c r="J260" s="32" t="str" cm="1">
        <f t="array" ref="J260">_xlfn.LET(
  _xlpm.mapL, منابع!$H$11:$H$15,
  _xlpm.mapN, منابع!$I$11:$I$15,
  _xlpm.C, _xlfn.XLOOKUP(F260,_xlpm.mapL,_xlpm.mapN,""),
  _xlpm.G, _xlfn.XLOOKUP(G260,_xlpm.mapL,_xlpm.mapN,""),
  _xlpm.S, _xlfn.XLOOKUP(H260,_xlpm.mapL,_xlpm.mapN,""),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60" s="43"/>
    </row>
    <row r="261" spans="1:11">
      <c r="A261" s="40">
        <v>259</v>
      </c>
      <c r="B261" s="41"/>
      <c r="C261" s="42"/>
      <c r="D261" s="43"/>
      <c r="E261" s="44"/>
      <c r="F261" s="43"/>
      <c r="G261" s="41"/>
      <c r="H261" s="41"/>
      <c r="I261" s="41"/>
      <c r="J261" s="32" t="str" cm="1">
        <f t="array" ref="J261">_xlfn.LET(
  _xlpm.mapL, منابع!$H$11:$H$15,
  _xlpm.mapN, منابع!$I$11:$I$15,
  _xlpm.C, _xlfn.XLOOKUP(F261,_xlpm.mapL,_xlpm.mapN,""),
  _xlpm.G, _xlfn.XLOOKUP(G261,_xlpm.mapL,_xlpm.mapN,""),
  _xlpm.S, _xlfn.XLOOKUP(H261,_xlpm.mapL,_xlpm.mapN,""),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61" s="43"/>
    </row>
    <row r="262" spans="1:11" ht="16">
      <c r="A262" s="40">
        <v>260</v>
      </c>
      <c r="B262" s="41"/>
      <c r="C262" s="42"/>
      <c r="D262" s="57"/>
      <c r="E262" s="44"/>
      <c r="F262" s="43"/>
      <c r="G262" s="41"/>
      <c r="H262" s="41"/>
      <c r="I262" s="41"/>
      <c r="J262" s="32" t="str" cm="1">
        <f t="array" ref="J262">_xlfn.LET(
  _xlpm.mapL, منابع!$H$11:$H$15,
  _xlpm.mapN, منابع!$I$11:$I$15,
  _xlpm.C, _xlfn.XLOOKUP(F262,_xlpm.mapL,_xlpm.mapN,""),
  _xlpm.G, _xlfn.XLOOKUP(G262,_xlpm.mapL,_xlpm.mapN,""),
  _xlpm.S, _xlfn.XLOOKUP(H262,_xlpm.mapL,_xlpm.mapN,""),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62" s="43"/>
    </row>
    <row r="263" spans="1:11">
      <c r="A263" s="40">
        <v>261</v>
      </c>
      <c r="B263" s="41"/>
      <c r="C263" s="42"/>
      <c r="D263" s="43"/>
      <c r="E263" s="44"/>
      <c r="F263" s="43"/>
      <c r="G263" s="41"/>
      <c r="H263" s="41"/>
      <c r="I263" s="41"/>
      <c r="J263" s="32" t="str" cm="1">
        <f t="array" ref="J263">_xlfn.LET(
  _xlpm.mapL, منابع!$H$11:$H$15,
  _xlpm.mapN, منابع!$I$11:$I$15,
  _xlpm.C, _xlfn.XLOOKUP(F263,_xlpm.mapL,_xlpm.mapN,""),
  _xlpm.G, _xlfn.XLOOKUP(G263,_xlpm.mapL,_xlpm.mapN,""),
  _xlpm.S, _xlfn.XLOOKUP(H263,_xlpm.mapL,_xlpm.mapN,""),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63" s="43"/>
    </row>
    <row r="264" spans="1:11">
      <c r="A264" s="40">
        <v>262</v>
      </c>
      <c r="B264" s="41"/>
      <c r="C264" s="42"/>
      <c r="D264" s="43"/>
      <c r="E264" s="44"/>
      <c r="F264" s="43"/>
      <c r="G264" s="41"/>
      <c r="H264" s="41"/>
      <c r="I264" s="41"/>
      <c r="J264" s="32" t="str" cm="1">
        <f t="array" ref="J264">_xlfn.LET(
  _xlpm.mapL, منابع!$H$11:$H$15,
  _xlpm.mapN, منابع!$I$11:$I$15,
  _xlpm.C, _xlfn.XLOOKUP(F264,_xlpm.mapL,_xlpm.mapN,""),
  _xlpm.G, _xlfn.XLOOKUP(G264,_xlpm.mapL,_xlpm.mapN,""),
  _xlpm.S, _xlfn.XLOOKUP(H264,_xlpm.mapL,_xlpm.mapN,""),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64" s="43"/>
    </row>
    <row r="265" spans="1:11">
      <c r="A265" s="40">
        <v>263</v>
      </c>
      <c r="B265" s="41"/>
      <c r="C265" s="42"/>
      <c r="D265" s="43"/>
      <c r="E265" s="44"/>
      <c r="F265" s="43"/>
      <c r="G265" s="41"/>
      <c r="H265" s="41"/>
      <c r="I265" s="41"/>
      <c r="J265" s="32" t="str" cm="1">
        <f t="array" ref="J265">_xlfn.LET(
  _xlpm.mapL, منابع!$H$11:$H$15,
  _xlpm.mapN, منابع!$I$11:$I$15,
  _xlpm.C, _xlfn.XLOOKUP(F265,_xlpm.mapL,_xlpm.mapN,""),
  _xlpm.G, _xlfn.XLOOKUP(G265,_xlpm.mapL,_xlpm.mapN,""),
  _xlpm.S, _xlfn.XLOOKUP(H265,_xlpm.mapL,_xlpm.mapN,""),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65" s="43"/>
    </row>
    <row r="266" spans="1:11">
      <c r="A266" s="40">
        <v>264</v>
      </c>
      <c r="B266" s="41"/>
      <c r="C266" s="41"/>
      <c r="D266" s="43"/>
      <c r="E266" s="44"/>
      <c r="F266" s="43"/>
      <c r="G266" s="41"/>
      <c r="H266" s="41"/>
      <c r="I266" s="41"/>
      <c r="J266" s="32" t="str" cm="1">
        <f t="array" ref="J266">_xlfn.LET(
  _xlpm.mapL, منابع!$H$11:$H$15,
  _xlpm.mapN, منابع!$I$11:$I$15,
  _xlpm.C, _xlfn.XLOOKUP(F266,_xlpm.mapL,_xlpm.mapN,""),
  _xlpm.G, _xlfn.XLOOKUP(G266,_xlpm.mapL,_xlpm.mapN,""),
  _xlpm.S, _xlfn.XLOOKUP(H266,_xlpm.mapL,_xlpm.mapN,""),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66" s="43"/>
    </row>
    <row r="267" spans="1:11">
      <c r="A267" s="40">
        <v>265</v>
      </c>
      <c r="B267" s="41"/>
      <c r="C267" s="42"/>
      <c r="D267" s="43"/>
      <c r="E267" s="44"/>
      <c r="F267" s="43"/>
      <c r="G267" s="41"/>
      <c r="H267" s="41"/>
      <c r="I267" s="41"/>
      <c r="J267" s="32" t="str" cm="1">
        <f t="array" ref="J267">_xlfn.LET(
  _xlpm.mapL, منابع!$H$11:$H$15,
  _xlpm.mapN, منابع!$I$11:$I$15,
  _xlpm.C, _xlfn.XLOOKUP(F267,_xlpm.mapL,_xlpm.mapN,""),
  _xlpm.G, _xlfn.XLOOKUP(G267,_xlpm.mapL,_xlpm.mapN,""),
  _xlpm.S, _xlfn.XLOOKUP(H267,_xlpm.mapL,_xlpm.mapN,""),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67" s="43"/>
    </row>
    <row r="268" spans="1:11">
      <c r="A268" s="40">
        <v>266</v>
      </c>
      <c r="B268" s="41"/>
      <c r="C268" s="42"/>
      <c r="D268" s="43"/>
      <c r="E268" s="44"/>
      <c r="F268" s="43"/>
      <c r="G268" s="41"/>
      <c r="H268" s="41"/>
      <c r="I268" s="41"/>
      <c r="J268" s="32" t="str" cm="1">
        <f t="array" ref="J268">_xlfn.LET(
  _xlpm.mapL, منابع!$H$11:$H$15,
  _xlpm.mapN, منابع!$I$11:$I$15,
  _xlpm.C, _xlfn.XLOOKUP(F268,_xlpm.mapL,_xlpm.mapN,""),
  _xlpm.G, _xlfn.XLOOKUP(G268,_xlpm.mapL,_xlpm.mapN,""),
  _xlpm.S, _xlfn.XLOOKUP(H268,_xlpm.mapL,_xlpm.mapN,""),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68" s="43"/>
    </row>
    <row r="269" spans="1:11">
      <c r="A269" s="40">
        <v>267</v>
      </c>
      <c r="B269" s="41"/>
      <c r="C269" s="42"/>
      <c r="D269" s="43"/>
      <c r="E269" s="44"/>
      <c r="F269" s="43"/>
      <c r="G269" s="41"/>
      <c r="H269" s="41"/>
      <c r="I269" s="41"/>
      <c r="J269" s="32" t="str" cm="1">
        <f t="array" ref="J269">_xlfn.LET(
  _xlpm.mapL, منابع!$H$11:$H$15,
  _xlpm.mapN, منابع!$I$11:$I$15,
  _xlpm.C, _xlfn.XLOOKUP(F269,_xlpm.mapL,_xlpm.mapN,""),
  _xlpm.G, _xlfn.XLOOKUP(G269,_xlpm.mapL,_xlpm.mapN,""),
  _xlpm.S, _xlfn.XLOOKUP(H269,_xlpm.mapL,_xlpm.mapN,""),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69" s="43"/>
    </row>
    <row r="270" spans="1:11">
      <c r="A270" s="40">
        <v>268</v>
      </c>
      <c r="B270" s="41"/>
      <c r="C270" s="42"/>
      <c r="D270" s="43"/>
      <c r="E270" s="44"/>
      <c r="F270" s="43"/>
      <c r="G270" s="41"/>
      <c r="H270" s="41"/>
      <c r="I270" s="41"/>
      <c r="J270" s="32" t="str" cm="1">
        <f t="array" ref="J270">_xlfn.LET(
  _xlpm.mapL, منابع!$H$11:$H$15,
  _xlpm.mapN, منابع!$I$11:$I$15,
  _xlpm.C, _xlfn.XLOOKUP(F270,_xlpm.mapL,_xlpm.mapN,""),
  _xlpm.G, _xlfn.XLOOKUP(G270,_xlpm.mapL,_xlpm.mapN,""),
  _xlpm.S, _xlfn.XLOOKUP(H270,_xlpm.mapL,_xlpm.mapN,""),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70" s="43"/>
    </row>
    <row r="271" spans="1:11">
      <c r="A271" s="40">
        <v>269</v>
      </c>
      <c r="B271" s="41"/>
      <c r="C271" s="42"/>
      <c r="D271" s="43"/>
      <c r="E271" s="44"/>
      <c r="F271" s="43"/>
      <c r="G271" s="41"/>
      <c r="H271" s="41"/>
      <c r="I271" s="41"/>
      <c r="J271" s="32" t="str" cm="1">
        <f t="array" ref="J271">_xlfn.LET(
  _xlpm.mapL, منابع!$H$11:$H$15,
  _xlpm.mapN, منابع!$I$11:$I$15,
  _xlpm.C, _xlfn.XLOOKUP(F271,_xlpm.mapL,_xlpm.mapN,""),
  _xlpm.G, _xlfn.XLOOKUP(G271,_xlpm.mapL,_xlpm.mapN,""),
  _xlpm.S, _xlfn.XLOOKUP(H271,_xlpm.mapL,_xlpm.mapN,""),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71" s="43"/>
    </row>
    <row r="272" spans="1:11">
      <c r="A272" s="40">
        <v>270</v>
      </c>
      <c r="B272" s="41"/>
      <c r="C272" s="42"/>
      <c r="D272" s="43"/>
      <c r="E272" s="44"/>
      <c r="F272" s="43"/>
      <c r="G272" s="41"/>
      <c r="H272" s="41"/>
      <c r="I272" s="41"/>
      <c r="J272" s="32" t="str" cm="1">
        <f t="array" ref="J272">_xlfn.LET(
  _xlpm.mapL, منابع!$H$11:$H$15,
  _xlpm.mapN, منابع!$I$11:$I$15,
  _xlpm.C, _xlfn.XLOOKUP(F272,_xlpm.mapL,_xlpm.mapN,""),
  _xlpm.G, _xlfn.XLOOKUP(G272,_xlpm.mapL,_xlpm.mapN,""),
  _xlpm.S, _xlfn.XLOOKUP(H272,_xlpm.mapL,_xlpm.mapN,""),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72" s="43"/>
    </row>
    <row r="273" spans="1:11">
      <c r="A273" s="40">
        <v>271</v>
      </c>
      <c r="B273" s="41"/>
      <c r="C273" s="42"/>
      <c r="D273" s="43"/>
      <c r="E273" s="44"/>
      <c r="F273" s="43"/>
      <c r="G273" s="41"/>
      <c r="H273" s="41"/>
      <c r="I273" s="41"/>
      <c r="J273" s="32" t="str" cm="1">
        <f t="array" ref="J273">_xlfn.LET(
  _xlpm.mapL, منابع!$H$11:$H$15,
  _xlpm.mapN, منابع!$I$11:$I$15,
  _xlpm.C, _xlfn.XLOOKUP(F273,_xlpm.mapL,_xlpm.mapN,""),
  _xlpm.G, _xlfn.XLOOKUP(G273,_xlpm.mapL,_xlpm.mapN,""),
  _xlpm.S, _xlfn.XLOOKUP(H273,_xlpm.mapL,_xlpm.mapN,""),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73" s="43"/>
    </row>
    <row r="274" spans="1:11">
      <c r="A274" s="40">
        <v>272</v>
      </c>
      <c r="B274" s="41"/>
      <c r="C274" s="42"/>
      <c r="D274" s="43"/>
      <c r="E274" s="44"/>
      <c r="F274" s="43"/>
      <c r="G274" s="41"/>
      <c r="H274" s="41"/>
      <c r="I274" s="41"/>
      <c r="J274" s="32" t="str" cm="1">
        <f t="array" ref="J274">_xlfn.LET(
  _xlpm.mapL, منابع!$H$11:$H$15,
  _xlpm.mapN, منابع!$I$11:$I$15,
  _xlpm.C, _xlfn.XLOOKUP(F274,_xlpm.mapL,_xlpm.mapN,""),
  _xlpm.G, _xlfn.XLOOKUP(G274,_xlpm.mapL,_xlpm.mapN,""),
  _xlpm.S, _xlfn.XLOOKUP(H274,_xlpm.mapL,_xlpm.mapN,""),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74" s="43"/>
    </row>
    <row r="275" spans="1:11">
      <c r="A275" s="40">
        <v>273</v>
      </c>
      <c r="B275" s="41"/>
      <c r="C275" s="42"/>
      <c r="D275" s="43"/>
      <c r="E275" s="44"/>
      <c r="F275" s="43"/>
      <c r="G275" s="41"/>
      <c r="H275" s="41"/>
      <c r="I275" s="41"/>
      <c r="J275" s="32" t="str" cm="1">
        <f t="array" ref="J275">_xlfn.LET(
  _xlpm.mapL, منابع!$H$11:$H$15,
  _xlpm.mapN, منابع!$I$11:$I$15,
  _xlpm.C, _xlfn.XLOOKUP(F275,_xlpm.mapL,_xlpm.mapN,""),
  _xlpm.G, _xlfn.XLOOKUP(G275,_xlpm.mapL,_xlpm.mapN,""),
  _xlpm.S, _xlfn.XLOOKUP(H275,_xlpm.mapL,_xlpm.mapN,""),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75" s="43"/>
    </row>
    <row r="276" spans="1:11">
      <c r="A276" s="40">
        <v>274</v>
      </c>
      <c r="B276" s="41"/>
      <c r="C276" s="42"/>
      <c r="D276" s="43"/>
      <c r="E276" s="44"/>
      <c r="F276" s="43"/>
      <c r="G276" s="41"/>
      <c r="H276" s="41"/>
      <c r="I276" s="41"/>
      <c r="J276" s="32" t="str" cm="1">
        <f t="array" ref="J276">_xlfn.LET(
  _xlpm.mapL, منابع!$H$11:$H$15,
  _xlpm.mapN, منابع!$I$11:$I$15,
  _xlpm.C, _xlfn.XLOOKUP(F276,_xlpm.mapL,_xlpm.mapN,""),
  _xlpm.G, _xlfn.XLOOKUP(G276,_xlpm.mapL,_xlpm.mapN,""),
  _xlpm.S, _xlfn.XLOOKUP(H276,_xlpm.mapL,_xlpm.mapN,""),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76" s="43"/>
    </row>
    <row r="277" spans="1:11">
      <c r="A277" s="40">
        <v>275</v>
      </c>
      <c r="B277" s="41"/>
      <c r="C277" s="52"/>
      <c r="D277" s="53"/>
      <c r="E277" s="44"/>
      <c r="F277" s="43"/>
      <c r="G277" s="41"/>
      <c r="H277" s="41"/>
      <c r="I277" s="41"/>
      <c r="J277" s="32" t="str" cm="1">
        <f t="array" ref="J277">_xlfn.LET(
  _xlpm.mapL, منابع!$H$11:$H$15,
  _xlpm.mapN, منابع!$I$11:$I$15,
  _xlpm.C, _xlfn.XLOOKUP(F277,_xlpm.mapL,_xlpm.mapN,""),
  _xlpm.G, _xlfn.XLOOKUP(G277,_xlpm.mapL,_xlpm.mapN,""),
  _xlpm.S, _xlfn.XLOOKUP(H277,_xlpm.mapL,_xlpm.mapN,""),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77" s="43"/>
    </row>
    <row r="278" spans="1:11">
      <c r="A278" s="40">
        <v>276</v>
      </c>
      <c r="B278" s="41"/>
      <c r="C278" s="42"/>
      <c r="D278" s="43"/>
      <c r="E278" s="44"/>
      <c r="F278" s="43"/>
      <c r="G278" s="41"/>
      <c r="H278" s="41"/>
      <c r="I278" s="41"/>
      <c r="J278" s="32" t="str" cm="1">
        <f t="array" ref="J278">_xlfn.LET(
  _xlpm.mapL, منابع!$H$11:$H$15,
  _xlpm.mapN, منابع!$I$11:$I$15,
  _xlpm.C, _xlfn.XLOOKUP(F278,_xlpm.mapL,_xlpm.mapN,""),
  _xlpm.G, _xlfn.XLOOKUP(G278,_xlpm.mapL,_xlpm.mapN,""),
  _xlpm.S, _xlfn.XLOOKUP(H278,_xlpm.mapL,_xlpm.mapN,""),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78" s="43"/>
    </row>
    <row r="279" spans="1:11">
      <c r="A279" s="40">
        <v>277</v>
      </c>
      <c r="B279" s="41"/>
      <c r="C279" s="42"/>
      <c r="D279" s="43"/>
      <c r="E279" s="44"/>
      <c r="F279" s="43"/>
      <c r="G279" s="41"/>
      <c r="H279" s="41"/>
      <c r="I279" s="41"/>
      <c r="J279" s="32" t="str" cm="1">
        <f t="array" ref="J279">_xlfn.LET(
  _xlpm.mapL, منابع!$H$11:$H$15,
  _xlpm.mapN, منابع!$I$11:$I$15,
  _xlpm.C, _xlfn.XLOOKUP(F279,_xlpm.mapL,_xlpm.mapN,""),
  _xlpm.G, _xlfn.XLOOKUP(G279,_xlpm.mapL,_xlpm.mapN,""),
  _xlpm.S, _xlfn.XLOOKUP(H279,_xlpm.mapL,_xlpm.mapN,""),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79" s="43"/>
    </row>
    <row r="280" spans="1:11">
      <c r="A280" s="40">
        <v>278</v>
      </c>
      <c r="B280" s="41"/>
      <c r="C280" s="42"/>
      <c r="D280" s="43"/>
      <c r="E280" s="44"/>
      <c r="F280" s="43"/>
      <c r="G280" s="41"/>
      <c r="H280" s="41"/>
      <c r="I280" s="41"/>
      <c r="J280" s="32" t="str" cm="1">
        <f t="array" ref="J280">_xlfn.LET(
  _xlpm.mapL, منابع!$H$11:$H$15,
  _xlpm.mapN, منابع!$I$11:$I$15,
  _xlpm.C, _xlfn.XLOOKUP(F280,_xlpm.mapL,_xlpm.mapN,""),
  _xlpm.G, _xlfn.XLOOKUP(G280,_xlpm.mapL,_xlpm.mapN,""),
  _xlpm.S, _xlfn.XLOOKUP(H280,_xlpm.mapL,_xlpm.mapN,""),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80" s="43"/>
    </row>
    <row r="281" spans="1:11">
      <c r="A281" s="40">
        <v>279</v>
      </c>
      <c r="B281" s="41"/>
      <c r="C281" s="42"/>
      <c r="D281" s="43"/>
      <c r="E281" s="44"/>
      <c r="F281" s="43"/>
      <c r="G281" s="41"/>
      <c r="H281" s="41"/>
      <c r="I281" s="41"/>
      <c r="J281" s="32" t="str" cm="1">
        <f t="array" ref="J281">_xlfn.LET(
  _xlpm.mapL, منابع!$H$11:$H$15,
  _xlpm.mapN, منابع!$I$11:$I$15,
  _xlpm.C, _xlfn.XLOOKUP(F281,_xlpm.mapL,_xlpm.mapN,""),
  _xlpm.G, _xlfn.XLOOKUP(G281,_xlpm.mapL,_xlpm.mapN,""),
  _xlpm.S, _xlfn.XLOOKUP(H281,_xlpm.mapL,_xlpm.mapN,""),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81" s="43"/>
    </row>
    <row r="282" spans="1:11">
      <c r="A282" s="40">
        <v>280</v>
      </c>
      <c r="B282" s="41"/>
      <c r="C282" s="42"/>
      <c r="D282" s="43"/>
      <c r="E282" s="44"/>
      <c r="F282" s="43"/>
      <c r="G282" s="41"/>
      <c r="H282" s="41"/>
      <c r="I282" s="41"/>
      <c r="J282" s="32" t="str" cm="1">
        <f t="array" ref="J282">_xlfn.LET(
  _xlpm.mapL, منابع!$H$11:$H$15,
  _xlpm.mapN, منابع!$I$11:$I$15,
  _xlpm.C, _xlfn.XLOOKUP(F282,_xlpm.mapL,_xlpm.mapN,""),
  _xlpm.G, _xlfn.XLOOKUP(G282,_xlpm.mapL,_xlpm.mapN,""),
  _xlpm.S, _xlfn.XLOOKUP(H282,_xlpm.mapL,_xlpm.mapN,""),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82" s="43"/>
    </row>
    <row r="283" spans="1:11">
      <c r="A283" s="40">
        <v>281</v>
      </c>
      <c r="B283" s="41"/>
      <c r="C283" s="42"/>
      <c r="D283" s="43"/>
      <c r="E283" s="44"/>
      <c r="F283" s="43"/>
      <c r="G283" s="41"/>
      <c r="H283" s="41"/>
      <c r="I283" s="41"/>
      <c r="J283" s="32" t="str" cm="1">
        <f t="array" ref="J283">_xlfn.LET(
  _xlpm.mapL, منابع!$H$11:$H$15,
  _xlpm.mapN, منابع!$I$11:$I$15,
  _xlpm.C, _xlfn.XLOOKUP(F283,_xlpm.mapL,_xlpm.mapN,""),
  _xlpm.G, _xlfn.XLOOKUP(G283,_xlpm.mapL,_xlpm.mapN,""),
  _xlpm.S, _xlfn.XLOOKUP(H283,_xlpm.mapL,_xlpm.mapN,""),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83" s="43"/>
    </row>
    <row r="284" spans="1:11">
      <c r="A284" s="40">
        <v>282</v>
      </c>
      <c r="B284" s="41"/>
      <c r="C284" s="42"/>
      <c r="D284" s="43"/>
      <c r="E284" s="44"/>
      <c r="F284" s="43"/>
      <c r="G284" s="41"/>
      <c r="H284" s="41"/>
      <c r="I284" s="41"/>
      <c r="J284" s="32" t="str" cm="1">
        <f t="array" ref="J284">_xlfn.LET(
  _xlpm.mapL, منابع!$H$11:$H$15,
  _xlpm.mapN, منابع!$I$11:$I$15,
  _xlpm.C, _xlfn.XLOOKUP(F284,_xlpm.mapL,_xlpm.mapN,""),
  _xlpm.G, _xlfn.XLOOKUP(G284,_xlpm.mapL,_xlpm.mapN,""),
  _xlpm.S, _xlfn.XLOOKUP(H284,_xlpm.mapL,_xlpm.mapN,""),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84" s="43"/>
    </row>
    <row r="285" spans="1:11">
      <c r="A285" s="40">
        <v>283</v>
      </c>
      <c r="B285" s="41"/>
      <c r="C285" s="52"/>
      <c r="D285" s="53"/>
      <c r="E285" s="44"/>
      <c r="F285" s="43"/>
      <c r="G285" s="41"/>
      <c r="H285" s="41"/>
      <c r="I285" s="41"/>
      <c r="J285" s="32" t="str" cm="1">
        <f t="array" ref="J285">_xlfn.LET(
  _xlpm.mapL, منابع!$H$11:$H$15,
  _xlpm.mapN, منابع!$I$11:$I$15,
  _xlpm.C, _xlfn.XLOOKUP(F285,_xlpm.mapL,_xlpm.mapN,""),
  _xlpm.G, _xlfn.XLOOKUP(G285,_xlpm.mapL,_xlpm.mapN,""),
  _xlpm.S, _xlfn.XLOOKUP(H285,_xlpm.mapL,_xlpm.mapN,""),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85" s="43"/>
    </row>
    <row r="286" spans="1:11">
      <c r="A286" s="40">
        <v>284</v>
      </c>
      <c r="B286" s="41"/>
      <c r="C286" s="42"/>
      <c r="D286" s="43"/>
      <c r="E286" s="44"/>
      <c r="F286" s="43"/>
      <c r="G286" s="41"/>
      <c r="H286" s="41"/>
      <c r="I286" s="41"/>
      <c r="J286" s="32" t="str" cm="1">
        <f t="array" ref="J286">_xlfn.LET(
  _xlpm.mapL, منابع!$H$11:$H$15,
  _xlpm.mapN, منابع!$I$11:$I$15,
  _xlpm.C, _xlfn.XLOOKUP(F286,_xlpm.mapL,_xlpm.mapN,""),
  _xlpm.G, _xlfn.XLOOKUP(G286,_xlpm.mapL,_xlpm.mapN,""),
  _xlpm.S, _xlfn.XLOOKUP(H286,_xlpm.mapL,_xlpm.mapN,""),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86" s="43"/>
    </row>
    <row r="287" spans="1:11">
      <c r="A287" s="40">
        <v>285</v>
      </c>
      <c r="B287" s="41"/>
      <c r="C287" s="41"/>
      <c r="D287" s="43"/>
      <c r="E287" s="44"/>
      <c r="F287" s="43"/>
      <c r="G287" s="41"/>
      <c r="H287" s="41"/>
      <c r="I287" s="41"/>
      <c r="J287" s="32" t="str" cm="1">
        <f t="array" ref="J287">_xlfn.LET(
  _xlpm.mapL, منابع!$H$11:$H$15,
  _xlpm.mapN, منابع!$I$11:$I$15,
  _xlpm.C, _xlfn.XLOOKUP(F287,_xlpm.mapL,_xlpm.mapN,""),
  _xlpm.G, _xlfn.XLOOKUP(G287,_xlpm.mapL,_xlpm.mapN,""),
  _xlpm.S, _xlfn.XLOOKUP(H287,_xlpm.mapL,_xlpm.mapN,""),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87" s="43"/>
    </row>
    <row r="288" spans="1:11">
      <c r="A288" s="40">
        <v>286</v>
      </c>
      <c r="B288" s="41"/>
      <c r="C288" s="42"/>
      <c r="D288" s="43"/>
      <c r="E288" s="44"/>
      <c r="F288" s="43"/>
      <c r="G288" s="41"/>
      <c r="H288" s="41"/>
      <c r="I288" s="41"/>
      <c r="J288" s="32" t="str" cm="1">
        <f t="array" ref="J288">_xlfn.LET(
  _xlpm.mapL, منابع!$H$11:$H$15,
  _xlpm.mapN, منابع!$I$11:$I$15,
  _xlpm.C, _xlfn.XLOOKUP(F288,_xlpm.mapL,_xlpm.mapN,""),
  _xlpm.G, _xlfn.XLOOKUP(G288,_xlpm.mapL,_xlpm.mapN,""),
  _xlpm.S, _xlfn.XLOOKUP(H288,_xlpm.mapL,_xlpm.mapN,""),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88" s="43"/>
    </row>
    <row r="289" spans="1:11">
      <c r="A289" s="40">
        <v>287</v>
      </c>
      <c r="B289" s="41"/>
      <c r="C289" s="42"/>
      <c r="D289" s="43"/>
      <c r="E289" s="44"/>
      <c r="F289" s="43"/>
      <c r="G289" s="41"/>
      <c r="H289" s="41"/>
      <c r="I289" s="41"/>
      <c r="J289" s="32" t="str" cm="1">
        <f t="array" ref="J289">_xlfn.LET(
  _xlpm.mapL, منابع!$H$11:$H$15,
  _xlpm.mapN, منابع!$I$11:$I$15,
  _xlpm.C, _xlfn.XLOOKUP(F289,_xlpm.mapL,_xlpm.mapN,""),
  _xlpm.G, _xlfn.XLOOKUP(G289,_xlpm.mapL,_xlpm.mapN,""),
  _xlpm.S, _xlfn.XLOOKUP(H289,_xlpm.mapL,_xlpm.mapN,""),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89" s="43"/>
    </row>
    <row r="290" spans="1:11">
      <c r="A290" s="40">
        <v>288</v>
      </c>
      <c r="B290" s="41"/>
      <c r="C290" s="42"/>
      <c r="D290" s="43"/>
      <c r="E290" s="44"/>
      <c r="F290" s="43"/>
      <c r="G290" s="41"/>
      <c r="H290" s="41"/>
      <c r="I290" s="41"/>
      <c r="J290" s="32" t="str" cm="1">
        <f t="array" ref="J290">_xlfn.LET(
  _xlpm.mapL, منابع!$H$11:$H$15,
  _xlpm.mapN, منابع!$I$11:$I$15,
  _xlpm.C, _xlfn.XLOOKUP(F290,_xlpm.mapL,_xlpm.mapN,""),
  _xlpm.G, _xlfn.XLOOKUP(G290,_xlpm.mapL,_xlpm.mapN,""),
  _xlpm.S, _xlfn.XLOOKUP(H290,_xlpm.mapL,_xlpm.mapN,""),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90" s="43"/>
    </row>
    <row r="291" spans="1:11">
      <c r="A291" s="40">
        <v>289</v>
      </c>
      <c r="B291" s="41"/>
      <c r="C291" s="42"/>
      <c r="D291" s="43"/>
      <c r="E291" s="44"/>
      <c r="F291" s="43"/>
      <c r="G291" s="41"/>
      <c r="H291" s="41"/>
      <c r="I291" s="41"/>
      <c r="J291" s="32" t="str" cm="1">
        <f t="array" ref="J291">_xlfn.LET(
  _xlpm.mapL, منابع!$H$11:$H$15,
  _xlpm.mapN, منابع!$I$11:$I$15,
  _xlpm.C, _xlfn.XLOOKUP(F291,_xlpm.mapL,_xlpm.mapN,""),
  _xlpm.G, _xlfn.XLOOKUP(G291,_xlpm.mapL,_xlpm.mapN,""),
  _xlpm.S, _xlfn.XLOOKUP(H291,_xlpm.mapL,_xlpm.mapN,""),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91" s="43"/>
    </row>
    <row r="292" spans="1:11">
      <c r="A292" s="40">
        <v>290</v>
      </c>
      <c r="B292" s="41"/>
      <c r="C292" s="42"/>
      <c r="D292" s="43"/>
      <c r="E292" s="44"/>
      <c r="F292" s="43"/>
      <c r="G292" s="41"/>
      <c r="H292" s="41"/>
      <c r="I292" s="41"/>
      <c r="J292" s="32" t="str" cm="1">
        <f t="array" ref="J292">_xlfn.LET(
  _xlpm.mapL, منابع!$H$11:$H$15,
  _xlpm.mapN, منابع!$I$11:$I$15,
  _xlpm.C, _xlfn.XLOOKUP(F292,_xlpm.mapL,_xlpm.mapN,""),
  _xlpm.G, _xlfn.XLOOKUP(G292,_xlpm.mapL,_xlpm.mapN,""),
  _xlpm.S, _xlfn.XLOOKUP(H292,_xlpm.mapL,_xlpm.mapN,""),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92" s="43"/>
    </row>
    <row r="293" spans="1:11">
      <c r="A293" s="40">
        <v>291</v>
      </c>
      <c r="B293" s="41"/>
      <c r="C293" s="52"/>
      <c r="D293" s="53"/>
      <c r="E293" s="44"/>
      <c r="F293" s="43"/>
      <c r="G293" s="41"/>
      <c r="H293" s="41"/>
      <c r="I293" s="41"/>
      <c r="J293" s="32" t="str" cm="1">
        <f t="array" ref="J293">_xlfn.LET(
  _xlpm.mapL, منابع!$H$11:$H$15,
  _xlpm.mapN, منابع!$I$11:$I$15,
  _xlpm.C, _xlfn.XLOOKUP(F293,_xlpm.mapL,_xlpm.mapN,""),
  _xlpm.G, _xlfn.XLOOKUP(G293,_xlpm.mapL,_xlpm.mapN,""),
  _xlpm.S, _xlfn.XLOOKUP(H293,_xlpm.mapL,_xlpm.mapN,""),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93" s="43"/>
    </row>
    <row r="294" spans="1:11">
      <c r="A294" s="40">
        <v>292</v>
      </c>
      <c r="B294" s="41"/>
      <c r="C294" s="41"/>
      <c r="D294" s="43"/>
      <c r="E294" s="44"/>
      <c r="F294" s="43"/>
      <c r="G294" s="41"/>
      <c r="H294" s="41"/>
      <c r="I294" s="41"/>
      <c r="J294" s="32" t="str" cm="1">
        <f t="array" ref="J294">_xlfn.LET(
  _xlpm.mapL, منابع!$H$11:$H$15,
  _xlpm.mapN, منابع!$I$11:$I$15,
  _xlpm.C, _xlfn.XLOOKUP(F294,_xlpm.mapL,_xlpm.mapN,""),
  _xlpm.G, _xlfn.XLOOKUP(G294,_xlpm.mapL,_xlpm.mapN,""),
  _xlpm.S, _xlfn.XLOOKUP(H294,_xlpm.mapL,_xlpm.mapN,""),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94" s="43"/>
    </row>
    <row r="295" spans="1:11">
      <c r="A295" s="40">
        <v>293</v>
      </c>
      <c r="B295" s="41"/>
      <c r="C295" s="41"/>
      <c r="D295" s="43"/>
      <c r="E295" s="44"/>
      <c r="F295" s="43"/>
      <c r="G295" s="41"/>
      <c r="H295" s="41"/>
      <c r="I295" s="41"/>
      <c r="J295" s="32" t="str" cm="1">
        <f t="array" ref="J295">_xlfn.LET(
  _xlpm.mapL, منابع!$H$11:$H$15,
  _xlpm.mapN, منابع!$I$11:$I$15,
  _xlpm.C, _xlfn.XLOOKUP(F295,_xlpm.mapL,_xlpm.mapN,""),
  _xlpm.G, _xlfn.XLOOKUP(G295,_xlpm.mapL,_xlpm.mapN,""),
  _xlpm.S, _xlfn.XLOOKUP(H295,_xlpm.mapL,_xlpm.mapN,""),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95" s="43"/>
    </row>
    <row r="296" spans="1:11">
      <c r="A296" s="40">
        <v>294</v>
      </c>
      <c r="B296" s="41"/>
      <c r="C296" s="41"/>
      <c r="D296" s="43"/>
      <c r="E296" s="44"/>
      <c r="F296" s="43"/>
      <c r="G296" s="41"/>
      <c r="H296" s="41"/>
      <c r="I296" s="41"/>
      <c r="J296" s="32" t="str" cm="1">
        <f t="array" ref="J296">_xlfn.LET(
  _xlpm.mapL, منابع!$H$11:$H$15,
  _xlpm.mapN, منابع!$I$11:$I$15,
  _xlpm.C, _xlfn.XLOOKUP(F296,_xlpm.mapL,_xlpm.mapN,""),
  _xlpm.G, _xlfn.XLOOKUP(G296,_xlpm.mapL,_xlpm.mapN,""),
  _xlpm.S, _xlfn.XLOOKUP(H296,_xlpm.mapL,_xlpm.mapN,""),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96" s="43"/>
    </row>
    <row r="297" spans="1:11">
      <c r="A297" s="40">
        <v>295</v>
      </c>
      <c r="B297" s="41"/>
      <c r="C297" s="41"/>
      <c r="D297" s="43"/>
      <c r="E297" s="44"/>
      <c r="F297" s="43"/>
      <c r="G297" s="41"/>
      <c r="H297" s="41"/>
      <c r="I297" s="41"/>
      <c r="J297" s="32" t="str" cm="1">
        <f t="array" ref="J297">_xlfn.LET(
  _xlpm.mapL, منابع!$H$11:$H$15,
  _xlpm.mapN, منابع!$I$11:$I$15,
  _xlpm.C, _xlfn.XLOOKUP(F297,_xlpm.mapL,_xlpm.mapN,""),
  _xlpm.G, _xlfn.XLOOKUP(G297,_xlpm.mapL,_xlpm.mapN,""),
  _xlpm.S, _xlfn.XLOOKUP(H297,_xlpm.mapL,_xlpm.mapN,""),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97" s="43"/>
    </row>
    <row r="298" spans="1:11">
      <c r="A298" s="40">
        <v>296</v>
      </c>
      <c r="B298" s="41"/>
      <c r="C298" s="41"/>
      <c r="D298" s="43"/>
      <c r="E298" s="44"/>
      <c r="F298" s="43"/>
      <c r="G298" s="41"/>
      <c r="H298" s="41"/>
      <c r="I298" s="41"/>
      <c r="J298" s="32" t="str" cm="1">
        <f t="array" ref="J298">_xlfn.LET(
  _xlpm.mapL, منابع!$H$11:$H$15,
  _xlpm.mapN, منابع!$I$11:$I$15,
  _xlpm.C, _xlfn.XLOOKUP(F298,_xlpm.mapL,_xlpm.mapN,""),
  _xlpm.G, _xlfn.XLOOKUP(G298,_xlpm.mapL,_xlpm.mapN,""),
  _xlpm.S, _xlfn.XLOOKUP(H298,_xlpm.mapL,_xlpm.mapN,""),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98" s="43"/>
    </row>
    <row r="299" spans="1:11">
      <c r="A299" s="40">
        <v>297</v>
      </c>
      <c r="B299" s="41"/>
      <c r="C299" s="41"/>
      <c r="D299" s="43"/>
      <c r="E299" s="44"/>
      <c r="F299" s="43"/>
      <c r="G299" s="41"/>
      <c r="H299" s="41"/>
      <c r="I299" s="41"/>
      <c r="J299" s="32" t="str" cm="1">
        <f t="array" ref="J299">_xlfn.LET(
  _xlpm.mapL, منابع!$H$11:$H$15,
  _xlpm.mapN, منابع!$I$11:$I$15,
  _xlpm.C, _xlfn.XLOOKUP(F299,_xlpm.mapL,_xlpm.mapN,""),
  _xlpm.G, _xlfn.XLOOKUP(G299,_xlpm.mapL,_xlpm.mapN,""),
  _xlpm.S, _xlfn.XLOOKUP(H299,_xlpm.mapL,_xlpm.mapN,""),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299" s="43"/>
    </row>
    <row r="300" spans="1:11">
      <c r="A300" s="40">
        <v>298</v>
      </c>
      <c r="B300" s="41"/>
      <c r="C300" s="41"/>
      <c r="D300" s="43"/>
      <c r="E300" s="61"/>
      <c r="F300" s="43"/>
      <c r="G300" s="41"/>
      <c r="H300" s="41"/>
      <c r="I300" s="41"/>
      <c r="J300" s="32" t="str" cm="1">
        <f t="array" ref="J300">_xlfn.LET(
  _xlpm.mapL, منابع!$H$11:$H$15,
  _xlpm.mapN, منابع!$I$11:$I$15,
  _xlpm.C, _xlfn.XLOOKUP(F300,_xlpm.mapL,_xlpm.mapN,""),
  _xlpm.G, _xlfn.XLOOKUP(G300,_xlpm.mapL,_xlpm.mapN,""),
  _xlpm.S, _xlfn.XLOOKUP(H300,_xlpm.mapL,_xlpm.mapN,""),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300" s="58"/>
    </row>
    <row r="301" spans="1:11">
      <c r="A301" s="40">
        <v>299</v>
      </c>
      <c r="B301" s="41"/>
      <c r="C301" s="62"/>
      <c r="D301" s="53"/>
      <c r="E301" s="61"/>
      <c r="F301" s="43"/>
      <c r="G301" s="41"/>
      <c r="H301" s="41"/>
      <c r="I301" s="41"/>
      <c r="J301" s="32" t="str" cm="1">
        <f t="array" ref="J301">_xlfn.LET(
  _xlpm.mapL, منابع!$H$11:$H$15,
  _xlpm.mapN, منابع!$I$11:$I$15,
  _xlpm.C, _xlfn.XLOOKUP(F301,_xlpm.mapL,_xlpm.mapN,""),
  _xlpm.G, _xlfn.XLOOKUP(G301,_xlpm.mapL,_xlpm.mapN,""),
  _xlpm.S, _xlfn.XLOOKUP(H301,_xlpm.mapL,_xlpm.mapN,""),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301" s="58"/>
    </row>
    <row r="302" spans="1:11">
      <c r="A302" s="40">
        <v>300</v>
      </c>
      <c r="B302" s="41"/>
      <c r="C302" s="41"/>
      <c r="D302" s="43"/>
      <c r="E302" s="61"/>
      <c r="F302" s="43"/>
      <c r="G302" s="41"/>
      <c r="H302" s="41"/>
      <c r="I302" s="41"/>
      <c r="J302" s="32" t="str" cm="1">
        <f t="array" ref="J302">_xlfn.LET(
  _xlpm.mapL, منابع!$H$11:$H$15,
  _xlpm.mapN, منابع!$I$11:$I$15,
  _xlpm.C, _xlfn.XLOOKUP(F302,_xlpm.mapL,_xlpm.mapN,""),
  _xlpm.G, _xlfn.XLOOKUP(G302,_xlpm.mapL,_xlpm.mapN,""),
  _xlpm.S, _xlfn.XLOOKUP(H302,_xlpm.mapL,_xlpm.mapN,""),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302" s="58"/>
    </row>
    <row r="303" spans="1:11">
      <c r="A303" s="40">
        <v>301</v>
      </c>
      <c r="B303" s="41"/>
      <c r="C303" s="41"/>
      <c r="D303" s="41"/>
      <c r="E303" s="61"/>
      <c r="F303" s="43"/>
      <c r="G303" s="41"/>
      <c r="H303" s="41"/>
      <c r="I303" s="63"/>
      <c r="J303" s="32" t="str" cm="1">
        <f t="array" ref="J303">_xlfn.LET(
  _xlpm.mapL, منابع!$H$11:$H$15,
  _xlpm.mapN, منابع!$I$11:$I$15,
  _xlpm.C, _xlfn.XLOOKUP(F303,_xlpm.mapL,_xlpm.mapN,""),
  _xlpm.G, _xlfn.XLOOKUP(G303,_xlpm.mapL,_xlpm.mapN,""),
  _xlpm.S, _xlfn.XLOOKUP(H303,_xlpm.mapL,_xlpm.mapN,""),
  _xlpm.M, MAX(_xlpm.G,_xlpm.S),
  IF(_xlpm.C="","",
    IF(_xlpm.C&lt;=2,"اطلاع‌رسانی نشود",
      IF(AND(_xlpm.C=3,_xlpm.M=5),"اطلاع‌رسانی شود",
        IF(AND(_xlpm.C&gt;=4,_xlpm.M&gt;=4),"اطلاع‌رسانی شود",
          IF(AND(_xlpm.C=5,_xlpm.G&lt;=3,_xlpm.S&lt;=3),"اطلاع‌رسانی نشود",
            "اطلاع‌رسانی نشود"))))))</f>
        <v/>
      </c>
      <c r="K303" s="58"/>
    </row>
    <row r="304" spans="1:11">
      <c r="E304" s="29"/>
      <c r="K304" s="29"/>
    </row>
    <row r="305" spans="5:11">
      <c r="E305" s="29"/>
      <c r="K305" s="29"/>
    </row>
    <row r="306" spans="5:11">
      <c r="E306" s="29"/>
      <c r="K306" s="29"/>
    </row>
    <row r="307" spans="5:11">
      <c r="E307" s="29"/>
      <c r="K307" s="29"/>
    </row>
    <row r="308" spans="5:11">
      <c r="E308" s="29"/>
      <c r="K308" s="29"/>
    </row>
    <row r="309" spans="5:11">
      <c r="E309" s="29"/>
      <c r="K309" s="29"/>
    </row>
    <row r="310" spans="5:11">
      <c r="E310" s="29"/>
      <c r="K310" s="29"/>
    </row>
    <row r="311" spans="5:11">
      <c r="E311" s="29"/>
      <c r="K311" s="29"/>
    </row>
    <row r="312" spans="5:11">
      <c r="E312" s="29"/>
      <c r="K312" s="29"/>
    </row>
    <row r="313" spans="5:11">
      <c r="E313" s="29"/>
      <c r="K313" s="29"/>
    </row>
    <row r="314" spans="5:11">
      <c r="E314" s="29"/>
      <c r="K314" s="29"/>
    </row>
    <row r="315" spans="5:11">
      <c r="E315" s="29"/>
      <c r="K315" s="29"/>
    </row>
    <row r="316" spans="5:11">
      <c r="E316" s="29"/>
      <c r="K316" s="29"/>
    </row>
    <row r="317" spans="5:11">
      <c r="E317" s="29"/>
      <c r="K317" s="29"/>
    </row>
    <row r="318" spans="5:11">
      <c r="E318" s="29"/>
      <c r="K318" s="29"/>
    </row>
    <row r="319" spans="5:11">
      <c r="E319" s="29"/>
      <c r="K319" s="29"/>
    </row>
    <row r="320" spans="5:11">
      <c r="E320" s="29"/>
      <c r="K320" s="29"/>
    </row>
    <row r="321" spans="5:11">
      <c r="E321" s="29"/>
      <c r="K321" s="29"/>
    </row>
    <row r="322" spans="5:11">
      <c r="E322" s="29"/>
      <c r="K322" s="29"/>
    </row>
    <row r="323" spans="5:11">
      <c r="E323" s="29"/>
      <c r="K323" s="29"/>
    </row>
    <row r="324" spans="5:11">
      <c r="E324" s="29"/>
      <c r="K324" s="29"/>
    </row>
    <row r="325" spans="5:11">
      <c r="E325" s="29"/>
      <c r="K325" s="29"/>
    </row>
    <row r="326" spans="5:11">
      <c r="E326" s="29"/>
      <c r="K326" s="29"/>
    </row>
    <row r="327" spans="5:11">
      <c r="E327" s="29"/>
      <c r="K327" s="29"/>
    </row>
    <row r="328" spans="5:11">
      <c r="E328" s="29"/>
      <c r="K328" s="29"/>
    </row>
    <row r="329" spans="5:11">
      <c r="E329" s="29"/>
      <c r="K329" s="29"/>
    </row>
    <row r="330" spans="5:11">
      <c r="E330" s="29"/>
      <c r="K330" s="29"/>
    </row>
    <row r="331" spans="5:11">
      <c r="E331" s="29"/>
      <c r="K331" s="29"/>
    </row>
    <row r="332" spans="5:11">
      <c r="E332" s="29"/>
      <c r="K332" s="29"/>
    </row>
    <row r="333" spans="5:11">
      <c r="E333" s="29"/>
      <c r="K333" s="29"/>
    </row>
    <row r="334" spans="5:11">
      <c r="E334" s="29"/>
      <c r="K334" s="29"/>
    </row>
    <row r="335" spans="5:11">
      <c r="E335" s="29"/>
      <c r="K335" s="29"/>
    </row>
    <row r="336" spans="5:11">
      <c r="E336" s="29"/>
      <c r="K336" s="29"/>
    </row>
    <row r="337" spans="5:11">
      <c r="E337" s="29"/>
      <c r="K337" s="29"/>
    </row>
    <row r="338" spans="5:11">
      <c r="E338" s="29"/>
      <c r="K338" s="29"/>
    </row>
    <row r="339" spans="5:11">
      <c r="E339" s="29"/>
      <c r="K339" s="29"/>
    </row>
    <row r="340" spans="5:11">
      <c r="E340" s="29"/>
      <c r="K340" s="29"/>
    </row>
    <row r="341" spans="5:11">
      <c r="E341" s="29"/>
      <c r="K341" s="29"/>
    </row>
    <row r="342" spans="5:11">
      <c r="E342" s="29"/>
      <c r="K342" s="29"/>
    </row>
    <row r="343" spans="5:11">
      <c r="E343" s="29"/>
      <c r="K343" s="29"/>
    </row>
    <row r="344" spans="5:11">
      <c r="E344" s="29"/>
      <c r="K344" s="29"/>
    </row>
    <row r="345" spans="5:11">
      <c r="E345" s="29"/>
      <c r="K345" s="29"/>
    </row>
    <row r="346" spans="5:11">
      <c r="E346" s="29"/>
      <c r="K346" s="29"/>
    </row>
    <row r="347" spans="5:11">
      <c r="E347" s="29"/>
      <c r="K347" s="29"/>
    </row>
    <row r="348" spans="5:11">
      <c r="E348" s="29"/>
      <c r="K348" s="29"/>
    </row>
    <row r="349" spans="5:11">
      <c r="E349" s="29"/>
      <c r="K349" s="29"/>
    </row>
    <row r="350" spans="5:11">
      <c r="E350" s="29"/>
      <c r="K350" s="29"/>
    </row>
    <row r="351" spans="5:11">
      <c r="E351" s="29"/>
      <c r="K351" s="29"/>
    </row>
    <row r="352" spans="5:11">
      <c r="E352" s="29"/>
      <c r="K352" s="29"/>
    </row>
    <row r="353" spans="5:11">
      <c r="E353" s="29"/>
      <c r="K353" s="29"/>
    </row>
    <row r="354" spans="5:11">
      <c r="E354" s="29"/>
      <c r="K354" s="29"/>
    </row>
    <row r="355" spans="5:11">
      <c r="E355" s="29"/>
      <c r="K355" s="29"/>
    </row>
    <row r="356" spans="5:11">
      <c r="E356" s="29"/>
      <c r="K356" s="29"/>
    </row>
    <row r="357" spans="5:11">
      <c r="E357" s="29"/>
      <c r="K357" s="29"/>
    </row>
    <row r="358" spans="5:11">
      <c r="E358" s="29"/>
      <c r="K358" s="29"/>
    </row>
    <row r="359" spans="5:11">
      <c r="E359" s="29"/>
      <c r="K359" s="29"/>
    </row>
    <row r="360" spans="5:11">
      <c r="E360" s="29"/>
      <c r="K360" s="29"/>
    </row>
    <row r="361" spans="5:11">
      <c r="E361" s="29"/>
      <c r="K361" s="29"/>
    </row>
    <row r="362" spans="5:11">
      <c r="E362" s="29"/>
      <c r="K362" s="29"/>
    </row>
    <row r="363" spans="5:11">
      <c r="E363" s="29"/>
      <c r="K363" s="29"/>
    </row>
    <row r="364" spans="5:11">
      <c r="E364" s="29"/>
      <c r="K364" s="29"/>
    </row>
    <row r="365" spans="5:11">
      <c r="E365" s="29"/>
      <c r="K365" s="29"/>
    </row>
    <row r="366" spans="5:11">
      <c r="E366" s="29"/>
      <c r="K366" s="29"/>
    </row>
    <row r="367" spans="5:11">
      <c r="E367" s="29"/>
      <c r="K367" s="29"/>
    </row>
    <row r="368" spans="5:11">
      <c r="E368" s="29"/>
      <c r="K368" s="29"/>
    </row>
    <row r="369" spans="5:11">
      <c r="E369" s="29"/>
      <c r="K369" s="29"/>
    </row>
    <row r="370" spans="5:11">
      <c r="E370" s="29"/>
      <c r="K370" s="29"/>
    </row>
    <row r="371" spans="5:11">
      <c r="E371" s="29"/>
      <c r="K371" s="29"/>
    </row>
    <row r="372" spans="5:11">
      <c r="E372" s="29"/>
      <c r="K372" s="29"/>
    </row>
    <row r="373" spans="5:11">
      <c r="E373" s="29"/>
      <c r="K373" s="29"/>
    </row>
    <row r="374" spans="5:11">
      <c r="E374" s="29"/>
      <c r="K374" s="29"/>
    </row>
    <row r="375" spans="5:11">
      <c r="E375" s="29"/>
      <c r="K375" s="29"/>
    </row>
    <row r="376" spans="5:11">
      <c r="E376" s="29"/>
      <c r="K376" s="29"/>
    </row>
    <row r="377" spans="5:11">
      <c r="E377" s="29"/>
      <c r="K377" s="29"/>
    </row>
    <row r="378" spans="5:11">
      <c r="E378" s="29"/>
      <c r="K378" s="29"/>
    </row>
    <row r="379" spans="5:11">
      <c r="E379" s="29"/>
      <c r="K379" s="29"/>
    </row>
    <row r="380" spans="5:11">
      <c r="E380" s="29"/>
      <c r="K380" s="29"/>
    </row>
    <row r="381" spans="5:11">
      <c r="E381" s="29"/>
      <c r="K381" s="29"/>
    </row>
    <row r="382" spans="5:11">
      <c r="E382" s="29"/>
      <c r="K382" s="29"/>
    </row>
    <row r="383" spans="5:11">
      <c r="E383" s="29"/>
      <c r="K383" s="29"/>
    </row>
    <row r="384" spans="5:11">
      <c r="E384" s="29"/>
      <c r="K384" s="29"/>
    </row>
    <row r="385" spans="5:11">
      <c r="E385" s="29"/>
      <c r="K385" s="29"/>
    </row>
    <row r="386" spans="5:11">
      <c r="E386" s="29"/>
      <c r="K386" s="29"/>
    </row>
    <row r="387" spans="5:11">
      <c r="E387" s="29"/>
      <c r="K387" s="29"/>
    </row>
    <row r="388" spans="5:11">
      <c r="E388" s="29"/>
      <c r="K388" s="29"/>
    </row>
    <row r="389" spans="5:11">
      <c r="E389" s="29"/>
      <c r="K389" s="29"/>
    </row>
    <row r="390" spans="5:11">
      <c r="E390" s="29"/>
      <c r="K390" s="29"/>
    </row>
    <row r="391" spans="5:11">
      <c r="E391" s="29"/>
      <c r="K391" s="29"/>
    </row>
    <row r="392" spans="5:11">
      <c r="E392" s="29"/>
      <c r="K392" s="29"/>
    </row>
    <row r="393" spans="5:11">
      <c r="E393" s="29"/>
      <c r="K393" s="29"/>
    </row>
    <row r="394" spans="5:11">
      <c r="E394" s="29"/>
      <c r="K394" s="29"/>
    </row>
    <row r="395" spans="5:11">
      <c r="E395" s="29"/>
      <c r="K395" s="29"/>
    </row>
    <row r="396" spans="5:11">
      <c r="E396" s="29"/>
      <c r="K396" s="29"/>
    </row>
    <row r="397" spans="5:11">
      <c r="E397" s="29"/>
      <c r="K397" s="29"/>
    </row>
    <row r="398" spans="5:11">
      <c r="E398" s="29"/>
      <c r="K398" s="29"/>
    </row>
    <row r="399" spans="5:11">
      <c r="E399" s="29"/>
      <c r="K399" s="29"/>
    </row>
    <row r="400" spans="5:11">
      <c r="E400" s="29"/>
      <c r="K400" s="29"/>
    </row>
    <row r="401" spans="5:11">
      <c r="E401" s="29"/>
      <c r="K401" s="29"/>
    </row>
    <row r="402" spans="5:11">
      <c r="E402" s="29"/>
      <c r="K402" s="29"/>
    </row>
    <row r="403" spans="5:11">
      <c r="E403" s="29"/>
      <c r="K403" s="29"/>
    </row>
    <row r="404" spans="5:11">
      <c r="E404" s="29"/>
      <c r="K404" s="29"/>
    </row>
    <row r="405" spans="5:11">
      <c r="E405" s="29"/>
      <c r="K405" s="29"/>
    </row>
    <row r="406" spans="5:11">
      <c r="E406" s="29"/>
      <c r="K406" s="29"/>
    </row>
    <row r="407" spans="5:11">
      <c r="E407" s="29"/>
      <c r="K407" s="29"/>
    </row>
    <row r="408" spans="5:11">
      <c r="E408" s="29"/>
      <c r="K408" s="29"/>
    </row>
    <row r="409" spans="5:11">
      <c r="E409" s="29"/>
      <c r="K409" s="29"/>
    </row>
    <row r="410" spans="5:11">
      <c r="E410" s="29"/>
      <c r="K410" s="29"/>
    </row>
    <row r="411" spans="5:11">
      <c r="E411" s="29"/>
      <c r="K411" s="29"/>
    </row>
    <row r="412" spans="5:11">
      <c r="E412" s="29"/>
      <c r="K412" s="29"/>
    </row>
    <row r="413" spans="5:11">
      <c r="E413" s="29"/>
      <c r="K413" s="29"/>
    </row>
    <row r="414" spans="5:11">
      <c r="E414" s="29"/>
      <c r="K414" s="29"/>
    </row>
    <row r="415" spans="5:11">
      <c r="E415" s="29"/>
      <c r="K415" s="29"/>
    </row>
    <row r="416" spans="5:11">
      <c r="E416" s="29"/>
      <c r="K416" s="29"/>
    </row>
    <row r="417" spans="5:11">
      <c r="E417" s="29"/>
      <c r="K417" s="29"/>
    </row>
    <row r="418" spans="5:11">
      <c r="E418" s="29"/>
      <c r="K418" s="29"/>
    </row>
    <row r="419" spans="5:11">
      <c r="E419" s="29"/>
      <c r="K419" s="29"/>
    </row>
    <row r="420" spans="5:11">
      <c r="E420" s="29"/>
      <c r="K420" s="29"/>
    </row>
    <row r="421" spans="5:11">
      <c r="E421" s="29"/>
      <c r="K421" s="29"/>
    </row>
    <row r="422" spans="5:11">
      <c r="E422" s="29"/>
      <c r="K422" s="29"/>
    </row>
    <row r="423" spans="5:11">
      <c r="E423" s="29"/>
      <c r="K423" s="29"/>
    </row>
    <row r="424" spans="5:11">
      <c r="E424" s="29"/>
      <c r="K424" s="29"/>
    </row>
    <row r="425" spans="5:11">
      <c r="E425" s="29"/>
      <c r="K425" s="29"/>
    </row>
    <row r="426" spans="5:11">
      <c r="E426" s="29"/>
      <c r="K426" s="29"/>
    </row>
    <row r="427" spans="5:11">
      <c r="E427" s="29"/>
      <c r="K427" s="29"/>
    </row>
    <row r="428" spans="5:11">
      <c r="E428" s="29"/>
      <c r="K428" s="29"/>
    </row>
    <row r="429" spans="5:11">
      <c r="E429" s="29"/>
      <c r="K429" s="29"/>
    </row>
    <row r="430" spans="5:11">
      <c r="E430" s="29"/>
      <c r="K430" s="29"/>
    </row>
    <row r="431" spans="5:11">
      <c r="E431" s="29"/>
      <c r="K431" s="29"/>
    </row>
    <row r="432" spans="5:11">
      <c r="E432" s="29"/>
      <c r="K432" s="29"/>
    </row>
    <row r="433" spans="5:11">
      <c r="E433" s="29"/>
      <c r="K433" s="29"/>
    </row>
    <row r="434" spans="5:11">
      <c r="E434" s="29"/>
      <c r="K434" s="29"/>
    </row>
    <row r="435" spans="5:11">
      <c r="E435" s="29"/>
      <c r="K435" s="29"/>
    </row>
    <row r="436" spans="5:11">
      <c r="E436" s="29"/>
      <c r="K436" s="29"/>
    </row>
    <row r="437" spans="5:11">
      <c r="E437" s="29"/>
      <c r="K437" s="29"/>
    </row>
    <row r="438" spans="5:11">
      <c r="E438" s="29"/>
      <c r="K438" s="29"/>
    </row>
    <row r="439" spans="5:11">
      <c r="E439" s="29"/>
      <c r="K439" s="29"/>
    </row>
    <row r="440" spans="5:11">
      <c r="E440" s="29"/>
      <c r="K440" s="29"/>
    </row>
    <row r="441" spans="5:11">
      <c r="E441" s="29"/>
      <c r="K441" s="29"/>
    </row>
    <row r="442" spans="5:11">
      <c r="E442" s="29"/>
      <c r="K442" s="29"/>
    </row>
    <row r="443" spans="5:11">
      <c r="E443" s="29"/>
      <c r="K443" s="29"/>
    </row>
    <row r="444" spans="5:11">
      <c r="E444" s="29"/>
      <c r="K444" s="29"/>
    </row>
    <row r="445" spans="5:11">
      <c r="E445" s="29"/>
      <c r="K445" s="29"/>
    </row>
    <row r="446" spans="5:11">
      <c r="E446" s="29"/>
      <c r="K446" s="29"/>
    </row>
    <row r="447" spans="5:11">
      <c r="E447" s="29"/>
      <c r="K447" s="29"/>
    </row>
    <row r="448" spans="5:11">
      <c r="E448" s="29"/>
      <c r="K448" s="29"/>
    </row>
    <row r="449" spans="5:11">
      <c r="E449" s="29"/>
      <c r="K449" s="29"/>
    </row>
    <row r="450" spans="5:11">
      <c r="E450" s="29"/>
      <c r="K450" s="29"/>
    </row>
    <row r="451" spans="5:11">
      <c r="E451" s="29"/>
      <c r="K451" s="29"/>
    </row>
    <row r="452" spans="5:11">
      <c r="E452" s="29"/>
      <c r="K452" s="29"/>
    </row>
    <row r="453" spans="5:11">
      <c r="E453" s="29"/>
      <c r="K453" s="29"/>
    </row>
    <row r="454" spans="5:11">
      <c r="E454" s="29"/>
      <c r="K454" s="29"/>
    </row>
    <row r="455" spans="5:11">
      <c r="E455" s="29"/>
      <c r="K455" s="29"/>
    </row>
    <row r="456" spans="5:11">
      <c r="E456" s="29"/>
      <c r="K456" s="29"/>
    </row>
    <row r="457" spans="5:11">
      <c r="E457" s="29"/>
      <c r="K457" s="29"/>
    </row>
    <row r="458" spans="5:11">
      <c r="E458" s="29"/>
      <c r="K458" s="29"/>
    </row>
    <row r="459" spans="5:11">
      <c r="E459" s="29"/>
      <c r="K459" s="29"/>
    </row>
    <row r="460" spans="5:11">
      <c r="E460" s="29"/>
      <c r="K460" s="29"/>
    </row>
    <row r="461" spans="5:11">
      <c r="E461" s="29"/>
      <c r="K461" s="29"/>
    </row>
    <row r="462" spans="5:11">
      <c r="E462" s="29"/>
      <c r="K462" s="29"/>
    </row>
    <row r="463" spans="5:11">
      <c r="E463" s="29"/>
      <c r="K463" s="29"/>
    </row>
    <row r="464" spans="5:11">
      <c r="E464" s="29"/>
      <c r="K464" s="29"/>
    </row>
    <row r="465" spans="5:11">
      <c r="E465" s="29"/>
      <c r="K465" s="29"/>
    </row>
    <row r="466" spans="5:11">
      <c r="E466" s="29"/>
      <c r="K466" s="29"/>
    </row>
    <row r="467" spans="5:11">
      <c r="E467" s="29"/>
      <c r="K467" s="29"/>
    </row>
    <row r="468" spans="5:11">
      <c r="E468" s="29"/>
      <c r="K468" s="29"/>
    </row>
    <row r="469" spans="5:11">
      <c r="E469" s="29"/>
      <c r="K469" s="29"/>
    </row>
    <row r="470" spans="5:11">
      <c r="E470" s="29"/>
      <c r="K470" s="29"/>
    </row>
    <row r="471" spans="5:11">
      <c r="E471" s="29"/>
      <c r="K471" s="29"/>
    </row>
    <row r="472" spans="5:11">
      <c r="E472" s="29"/>
      <c r="K472" s="29"/>
    </row>
    <row r="473" spans="5:11">
      <c r="E473" s="29"/>
      <c r="K473" s="29"/>
    </row>
    <row r="474" spans="5:11">
      <c r="E474" s="29"/>
      <c r="K474" s="29"/>
    </row>
    <row r="475" spans="5:11">
      <c r="E475" s="29"/>
      <c r="K475" s="29"/>
    </row>
    <row r="476" spans="5:11">
      <c r="E476" s="29"/>
      <c r="K476" s="29"/>
    </row>
    <row r="477" spans="5:11">
      <c r="E477" s="29"/>
      <c r="K477" s="29"/>
    </row>
    <row r="478" spans="5:11">
      <c r="E478" s="29"/>
      <c r="K478" s="29"/>
    </row>
    <row r="479" spans="5:11">
      <c r="E479" s="29"/>
      <c r="K479" s="29"/>
    </row>
    <row r="480" spans="5:11">
      <c r="E480" s="29"/>
      <c r="K480" s="29"/>
    </row>
    <row r="481" spans="5:11">
      <c r="E481" s="29"/>
      <c r="K481" s="29"/>
    </row>
    <row r="482" spans="5:11">
      <c r="E482" s="29"/>
      <c r="K482" s="29"/>
    </row>
    <row r="483" spans="5:11">
      <c r="E483" s="29"/>
      <c r="K483" s="29"/>
    </row>
    <row r="484" spans="5:11">
      <c r="E484" s="29"/>
      <c r="K484" s="29"/>
    </row>
    <row r="485" spans="5:11">
      <c r="E485" s="29"/>
      <c r="K485" s="29"/>
    </row>
    <row r="486" spans="5:11">
      <c r="E486" s="29"/>
      <c r="K486" s="29"/>
    </row>
    <row r="487" spans="5:11">
      <c r="E487" s="29"/>
      <c r="K487" s="29"/>
    </row>
    <row r="488" spans="5:11">
      <c r="E488" s="29"/>
      <c r="K488" s="29"/>
    </row>
    <row r="489" spans="5:11">
      <c r="E489" s="29"/>
      <c r="K489" s="29"/>
    </row>
    <row r="490" spans="5:11">
      <c r="E490" s="29"/>
      <c r="K490" s="29"/>
    </row>
    <row r="491" spans="5:11">
      <c r="E491" s="29"/>
      <c r="K491" s="29"/>
    </row>
    <row r="492" spans="5:11">
      <c r="E492" s="29"/>
      <c r="K492" s="29"/>
    </row>
    <row r="493" spans="5:11">
      <c r="E493" s="29"/>
      <c r="K493" s="29"/>
    </row>
    <row r="494" spans="5:11">
      <c r="E494" s="29"/>
      <c r="K494" s="29"/>
    </row>
    <row r="495" spans="5:11">
      <c r="E495" s="29"/>
      <c r="K495" s="29"/>
    </row>
    <row r="496" spans="5:11">
      <c r="E496" s="29"/>
      <c r="K496" s="29"/>
    </row>
    <row r="497" spans="5:11">
      <c r="E497" s="29"/>
      <c r="K497" s="29"/>
    </row>
    <row r="498" spans="5:11">
      <c r="E498" s="29"/>
      <c r="K498" s="29"/>
    </row>
    <row r="499" spans="5:11">
      <c r="E499" s="29"/>
      <c r="K499" s="29"/>
    </row>
    <row r="500" spans="5:11">
      <c r="E500" s="29"/>
      <c r="K500" s="29"/>
    </row>
    <row r="501" spans="5:11">
      <c r="E501" s="29"/>
      <c r="K501" s="29"/>
    </row>
    <row r="502" spans="5:11">
      <c r="E502" s="29"/>
      <c r="K502" s="29"/>
    </row>
    <row r="503" spans="5:11">
      <c r="E503" s="29"/>
      <c r="K503" s="29"/>
    </row>
    <row r="504" spans="5:11">
      <c r="E504" s="29"/>
      <c r="K504" s="29"/>
    </row>
  </sheetData>
  <sheetProtection algorithmName="SHA-512" hashValue="R6X1+h4dYeRkk6xP1q+xSj44KiyTd35hq3JSW9z9fzjgcEaYoUq2ELJJkmQccwmin4bbdiSxl1GflxMpNuSJpg==" saltValue="Yj3Pkl8TMtTJ2YqYNYAayg==" spinCount="100000" sheet="1" objects="1" scenarios="1"/>
  <phoneticPr fontId="11" type="noConversion"/>
  <conditionalFormatting sqref="A3:K45 A46:A47 C46:K47 A48:K55 A56:B63 D56:K63 A64:K303">
    <cfRule type="expression" dxfId="6" priority="12">
      <formula>$J3="اطلاع‌رسانی شود"</formula>
    </cfRule>
  </conditionalFormatting>
  <conditionalFormatting sqref="A3:K45 C46:K47 A48:K55 D56:K63 A64:K303 A46:A47 A56:B63">
    <cfRule type="expression" dxfId="5" priority="11">
      <formula>$J3="اطلاع‌رسانی نشود"</formula>
    </cfRule>
  </conditionalFormatting>
  <conditionalFormatting sqref="B46">
    <cfRule type="expression" dxfId="4" priority="15">
      <formula>$J47="اطلاع‌رسانی نشود"</formula>
    </cfRule>
    <cfRule type="expression" dxfId="3" priority="16">
      <formula>$J47="اطلاع‌رسانی شود"</formula>
    </cfRule>
  </conditionalFormatting>
  <conditionalFormatting sqref="C56:C62">
    <cfRule type="expression" dxfId="2" priority="18">
      <formula>$J57="اطلاع‌رسانی شود"</formula>
    </cfRule>
    <cfRule type="expression" dxfId="1" priority="21">
      <formula>$J57="اطلاع‌رسانی نشود"</formula>
    </cfRule>
  </conditionalFormatting>
  <dataValidations count="2">
    <dataValidation type="list" allowBlank="1" showInputMessage="1" showErrorMessage="1" sqref="F304:H504" xr:uid="{00000000-0002-0000-0000-000000000000}">
      <formula1>"بله,خیر"</formula1>
    </dataValidation>
    <dataValidation type="list" allowBlank="1" showInputMessage="1" showErrorMessage="1" sqref="I3:I303" xr:uid="{D25434FF-86FF-4BFF-BD0E-3983EF58468E}">
      <formula1>"↑,↓,خنثی,نامطمئن"</formula1>
    </dataValidation>
  </dataValidations>
  <pageMargins left="0.75" right="0.75" top="1" bottom="1" header="0.5" footer="0.5"/>
  <drawing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3" operator="containsText" id="{26C7EB1B-81E9-4ABF-9820-4462572FE6F6}">
            <xm:f>NOT(ISERROR(SEARCH("عدم اطلاع رسانی",A3)))</xm:f>
            <xm:f>"عدم اطلاع رسانی"</xm:f>
            <x14:dxf>
              <fill>
                <patternFill>
                  <bgColor theme="9" tint="0.39994506668294322"/>
                </patternFill>
              </fill>
            </x14:dxf>
          </x14:cfRule>
          <xm:sqref>A3:K21 J4:J303</xm:sqref>
        </x14:conditionalFormatting>
        <x14:conditionalFormatting xmlns:xm="http://schemas.microsoft.com/office/excel/2006/main">
          <x14:cfRule type="containsText" priority="4" operator="containsText" id="{0E11694B-1D89-45AF-951F-87A84D18B929}">
            <xm:f>NOT(ISERROR(SEARCH("اطلاع رسانی شود",J3)))</xm:f>
            <xm:f>"اطلاع رسانی شود"</xm:f>
            <x14:dxf>
              <fill>
                <patternFill>
                  <bgColor theme="6" tint="0.39994506668294322"/>
                </patternFill>
              </fill>
            </x14:dxf>
          </x14:cfRule>
          <xm:sqref>J3:J303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D67612AB-1E99-49E1-9FA6-8398A44F7001}">
          <x14:formula1>
            <xm:f>منابع!$K$6:$K$10</xm:f>
          </x14:formula1>
          <xm:sqref>F3:H303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01"/>
  <sheetViews>
    <sheetView rightToLeft="1" workbookViewId="0">
      <pane ySplit="1" topLeftCell="A2" activePane="bottomLeft" state="frozen"/>
      <selection pane="bottomLeft" activeCell="H1" sqref="H1:I1"/>
    </sheetView>
  </sheetViews>
  <sheetFormatPr baseColWidth="10" defaultColWidth="8.83203125" defaultRowHeight="15"/>
  <cols>
    <col min="1" max="1" width="13.83203125" bestFit="1" customWidth="1"/>
    <col min="3" max="3" width="14" bestFit="1" customWidth="1"/>
    <col min="4" max="4" width="45.33203125" bestFit="1" customWidth="1"/>
    <col min="5" max="5" width="17.5" bestFit="1" customWidth="1"/>
    <col min="6" max="6" width="16.83203125" bestFit="1" customWidth="1"/>
    <col min="7" max="7" width="17.83203125" bestFit="1" customWidth="1"/>
    <col min="8" max="8" width="22" bestFit="1" customWidth="1"/>
    <col min="9" max="9" width="12.33203125" bestFit="1" customWidth="1"/>
  </cols>
  <sheetData>
    <row r="1" spans="1:9" s="4" customFormat="1">
      <c r="A1" s="7" t="s">
        <v>0</v>
      </c>
      <c r="B1" s="8" t="s">
        <v>1</v>
      </c>
      <c r="C1" s="8" t="s">
        <v>4</v>
      </c>
      <c r="D1" s="8" t="s">
        <v>5</v>
      </c>
      <c r="E1" s="8" t="s">
        <v>6</v>
      </c>
      <c r="F1" s="8" t="s">
        <v>7</v>
      </c>
      <c r="G1" s="8" t="s">
        <v>8</v>
      </c>
      <c r="H1" s="8" t="s">
        <v>16</v>
      </c>
      <c r="I1" s="9" t="s">
        <v>3</v>
      </c>
    </row>
    <row r="2" spans="1:9">
      <c r="A2" s="5"/>
      <c r="B2" s="2"/>
      <c r="C2" s="3"/>
      <c r="D2" s="2"/>
      <c r="E2" s="2"/>
      <c r="F2" s="2"/>
      <c r="G2" s="2"/>
      <c r="H2" s="2"/>
      <c r="I2" s="6"/>
    </row>
    <row r="3" spans="1:9">
      <c r="A3" s="5"/>
      <c r="B3" s="2"/>
      <c r="C3" s="3"/>
      <c r="D3" s="2"/>
      <c r="E3" s="2"/>
      <c r="F3" s="2"/>
      <c r="G3" s="2"/>
      <c r="H3" s="2"/>
      <c r="I3" s="6"/>
    </row>
    <row r="4" spans="1:9">
      <c r="A4" s="5"/>
      <c r="B4" s="2"/>
      <c r="C4" s="3"/>
      <c r="D4" s="2"/>
      <c r="E4" s="2"/>
      <c r="F4" s="2"/>
      <c r="G4" s="2"/>
      <c r="H4" s="2"/>
      <c r="I4" s="6"/>
    </row>
    <row r="5" spans="1:9">
      <c r="A5" s="5"/>
      <c r="B5" s="2"/>
      <c r="C5" s="3"/>
      <c r="D5" s="2"/>
      <c r="E5" s="2"/>
      <c r="F5" s="2"/>
      <c r="G5" s="2"/>
      <c r="H5" s="2"/>
      <c r="I5" s="6"/>
    </row>
    <row r="6" spans="1:9">
      <c r="A6" s="5"/>
      <c r="B6" s="2"/>
      <c r="C6" s="3"/>
      <c r="D6" s="2"/>
      <c r="E6" s="2"/>
      <c r="F6" s="2"/>
      <c r="G6" s="2"/>
      <c r="H6" s="2"/>
      <c r="I6" s="6"/>
    </row>
    <row r="7" spans="1:9">
      <c r="A7" s="5"/>
      <c r="B7" s="2"/>
      <c r="C7" s="3"/>
      <c r="D7" s="2"/>
      <c r="E7" s="2"/>
      <c r="F7" s="2"/>
      <c r="G7" s="2"/>
      <c r="H7" s="2"/>
      <c r="I7" s="6"/>
    </row>
    <row r="8" spans="1:9">
      <c r="A8" s="5"/>
      <c r="B8" s="2"/>
      <c r="C8" s="3"/>
      <c r="D8" s="2"/>
      <c r="E8" s="2"/>
      <c r="F8" s="2"/>
      <c r="G8" s="2"/>
      <c r="H8" s="2"/>
      <c r="I8" s="6"/>
    </row>
    <row r="9" spans="1:9">
      <c r="A9" s="5"/>
      <c r="B9" s="2"/>
      <c r="C9" s="3"/>
      <c r="D9" s="2"/>
      <c r="E9" s="2"/>
      <c r="F9" s="2"/>
      <c r="G9" s="2"/>
      <c r="H9" s="2"/>
      <c r="I9" s="6"/>
    </row>
    <row r="10" spans="1:9">
      <c r="A10" s="5"/>
      <c r="B10" s="2"/>
      <c r="C10" s="3"/>
      <c r="D10" s="2"/>
      <c r="E10" s="2"/>
      <c r="F10" s="2"/>
      <c r="G10" s="2"/>
      <c r="H10" s="2"/>
      <c r="I10" s="6"/>
    </row>
    <row r="11" spans="1:9">
      <c r="A11" s="5"/>
      <c r="B11" s="2"/>
      <c r="C11" s="3"/>
      <c r="D11" s="2"/>
      <c r="E11" s="2"/>
      <c r="F11" s="2"/>
      <c r="G11" s="2"/>
      <c r="H11" s="2"/>
      <c r="I11" s="6"/>
    </row>
    <row r="12" spans="1:9">
      <c r="A12" s="5"/>
      <c r="B12" s="2"/>
      <c r="C12" s="3"/>
      <c r="D12" s="2"/>
      <c r="E12" s="2"/>
      <c r="F12" s="2"/>
      <c r="G12" s="2"/>
      <c r="H12" s="2"/>
      <c r="I12" s="6"/>
    </row>
    <row r="13" spans="1:9">
      <c r="A13" s="5"/>
      <c r="B13" s="2"/>
      <c r="C13" s="3"/>
      <c r="D13" s="2"/>
      <c r="E13" s="2"/>
      <c r="F13" s="2"/>
      <c r="G13" s="2"/>
      <c r="H13" s="2"/>
      <c r="I13" s="6"/>
    </row>
    <row r="14" spans="1:9">
      <c r="A14" s="5"/>
      <c r="B14" s="2"/>
      <c r="C14" s="3"/>
      <c r="D14" s="2"/>
      <c r="E14" s="2"/>
      <c r="F14" s="2"/>
      <c r="G14" s="2"/>
      <c r="H14" s="2"/>
      <c r="I14" s="6"/>
    </row>
    <row r="15" spans="1:9">
      <c r="A15" s="5"/>
      <c r="B15" s="2"/>
      <c r="C15" s="3"/>
      <c r="D15" s="2"/>
      <c r="E15" s="2"/>
      <c r="F15" s="2"/>
      <c r="G15" s="2"/>
      <c r="H15" s="2"/>
      <c r="I15" s="6"/>
    </row>
    <row r="16" spans="1:9">
      <c r="A16" s="5"/>
      <c r="B16" s="2"/>
      <c r="C16" s="3"/>
      <c r="D16" s="2"/>
      <c r="E16" s="2"/>
      <c r="F16" s="2"/>
      <c r="G16" s="2"/>
      <c r="H16" s="2"/>
      <c r="I16" s="6"/>
    </row>
    <row r="17" spans="1:9">
      <c r="A17" s="5"/>
      <c r="B17" s="2"/>
      <c r="C17" s="3"/>
      <c r="D17" s="2"/>
      <c r="E17" s="2"/>
      <c r="F17" s="2"/>
      <c r="G17" s="2"/>
      <c r="H17" s="2"/>
      <c r="I17" s="6"/>
    </row>
    <row r="18" spans="1:9">
      <c r="A18" s="5"/>
      <c r="B18" s="2"/>
      <c r="C18" s="3"/>
      <c r="D18" s="2"/>
      <c r="E18" s="2"/>
      <c r="F18" s="2"/>
      <c r="G18" s="2"/>
      <c r="H18" s="2"/>
      <c r="I18" s="6"/>
    </row>
    <row r="19" spans="1:9">
      <c r="A19" s="5"/>
      <c r="B19" s="2"/>
      <c r="C19" s="3"/>
      <c r="D19" s="2"/>
      <c r="E19" s="2"/>
      <c r="F19" s="2"/>
      <c r="G19" s="2"/>
      <c r="H19" s="2"/>
      <c r="I19" s="6"/>
    </row>
    <row r="20" spans="1:9">
      <c r="A20" s="5"/>
      <c r="B20" s="2"/>
      <c r="C20" s="3"/>
      <c r="D20" s="2"/>
      <c r="E20" s="2"/>
      <c r="F20" s="2"/>
      <c r="G20" s="2"/>
      <c r="H20" s="2"/>
      <c r="I20" s="6"/>
    </row>
    <row r="21" spans="1:9">
      <c r="A21" s="5"/>
      <c r="B21" s="2"/>
      <c r="C21" s="3"/>
      <c r="D21" s="2"/>
      <c r="E21" s="2"/>
      <c r="F21" s="2"/>
      <c r="G21" s="2"/>
      <c r="H21" s="2"/>
      <c r="I21" s="6"/>
    </row>
    <row r="22" spans="1:9">
      <c r="A22" s="5"/>
      <c r="B22" s="2"/>
      <c r="C22" s="3"/>
      <c r="D22" s="2"/>
      <c r="E22" s="2"/>
      <c r="F22" s="2"/>
      <c r="G22" s="2"/>
      <c r="H22" s="2"/>
      <c r="I22" s="6"/>
    </row>
    <row r="23" spans="1:9">
      <c r="A23" s="5"/>
      <c r="B23" s="2"/>
      <c r="C23" s="3"/>
      <c r="D23" s="2"/>
      <c r="E23" s="2"/>
      <c r="F23" s="2"/>
      <c r="G23" s="2"/>
      <c r="H23" s="2"/>
      <c r="I23" s="6"/>
    </row>
    <row r="24" spans="1:9">
      <c r="A24" s="5"/>
      <c r="B24" s="2"/>
      <c r="C24" s="3"/>
      <c r="D24" s="2"/>
      <c r="E24" s="2"/>
      <c r="F24" s="2"/>
      <c r="G24" s="2"/>
      <c r="H24" s="2"/>
      <c r="I24" s="6"/>
    </row>
    <row r="25" spans="1:9">
      <c r="A25" s="5"/>
      <c r="B25" s="2"/>
      <c r="C25" s="3"/>
      <c r="D25" s="2"/>
      <c r="E25" s="2"/>
      <c r="F25" s="2"/>
      <c r="G25" s="2"/>
      <c r="H25" s="2"/>
      <c r="I25" s="6"/>
    </row>
    <row r="26" spans="1:9">
      <c r="A26" s="5"/>
      <c r="B26" s="2"/>
      <c r="C26" s="3"/>
      <c r="D26" s="2"/>
      <c r="E26" s="2"/>
      <c r="F26" s="2"/>
      <c r="G26" s="2"/>
      <c r="H26" s="2"/>
      <c r="I26" s="6"/>
    </row>
    <row r="27" spans="1:9">
      <c r="A27" s="5"/>
      <c r="B27" s="2"/>
      <c r="C27" s="3"/>
      <c r="D27" s="2"/>
      <c r="E27" s="2"/>
      <c r="F27" s="2"/>
      <c r="G27" s="2"/>
      <c r="H27" s="2"/>
      <c r="I27" s="6"/>
    </row>
    <row r="28" spans="1:9">
      <c r="A28" s="5"/>
      <c r="B28" s="2"/>
      <c r="C28" s="3"/>
      <c r="D28" s="2"/>
      <c r="E28" s="2"/>
      <c r="F28" s="2"/>
      <c r="G28" s="2"/>
      <c r="H28" s="2"/>
      <c r="I28" s="6"/>
    </row>
    <row r="29" spans="1:9">
      <c r="A29" s="5"/>
      <c r="B29" s="2"/>
      <c r="C29" s="3"/>
      <c r="D29" s="2"/>
      <c r="E29" s="2"/>
      <c r="F29" s="2"/>
      <c r="G29" s="2"/>
      <c r="H29" s="2"/>
      <c r="I29" s="6"/>
    </row>
    <row r="30" spans="1:9">
      <c r="A30" s="5"/>
      <c r="B30" s="2"/>
      <c r="C30" s="3"/>
      <c r="D30" s="2"/>
      <c r="E30" s="2"/>
      <c r="F30" s="2"/>
      <c r="G30" s="2"/>
      <c r="H30" s="2"/>
      <c r="I30" s="6"/>
    </row>
    <row r="31" spans="1:9">
      <c r="A31" s="5"/>
      <c r="B31" s="2"/>
      <c r="C31" s="3"/>
      <c r="D31" s="2"/>
      <c r="E31" s="2"/>
      <c r="F31" s="2"/>
      <c r="G31" s="2"/>
      <c r="H31" s="2"/>
      <c r="I31" s="6"/>
    </row>
    <row r="32" spans="1:9">
      <c r="A32" s="5"/>
      <c r="B32" s="2"/>
      <c r="C32" s="3"/>
      <c r="D32" s="2"/>
      <c r="E32" s="2"/>
      <c r="F32" s="2"/>
      <c r="G32" s="2"/>
      <c r="H32" s="2"/>
      <c r="I32" s="6"/>
    </row>
    <row r="33" spans="1:9">
      <c r="A33" s="5"/>
      <c r="B33" s="2"/>
      <c r="C33" s="3"/>
      <c r="D33" s="2"/>
      <c r="E33" s="2"/>
      <c r="F33" s="2"/>
      <c r="G33" s="2"/>
      <c r="H33" s="2"/>
      <c r="I33" s="6"/>
    </row>
    <row r="34" spans="1:9">
      <c r="A34" s="5"/>
      <c r="B34" s="2"/>
      <c r="C34" s="3"/>
      <c r="D34" s="2"/>
      <c r="E34" s="2"/>
      <c r="F34" s="2"/>
      <c r="G34" s="2"/>
      <c r="H34" s="2"/>
      <c r="I34" s="6"/>
    </row>
    <row r="35" spans="1:9">
      <c r="A35" s="5"/>
      <c r="B35" s="2"/>
      <c r="C35" s="3"/>
      <c r="D35" s="2"/>
      <c r="E35" s="2"/>
      <c r="F35" s="2"/>
      <c r="G35" s="2"/>
      <c r="H35" s="2"/>
      <c r="I35" s="6"/>
    </row>
    <row r="36" spans="1:9">
      <c r="A36" s="5"/>
      <c r="B36" s="2"/>
      <c r="C36" s="3"/>
      <c r="D36" s="2"/>
      <c r="E36" s="2"/>
      <c r="F36" s="2"/>
      <c r="G36" s="2"/>
      <c r="H36" s="2"/>
      <c r="I36" s="6"/>
    </row>
    <row r="37" spans="1:9">
      <c r="A37" s="5"/>
      <c r="B37" s="2"/>
      <c r="C37" s="3"/>
      <c r="D37" s="2"/>
      <c r="E37" s="2"/>
      <c r="F37" s="2"/>
      <c r="G37" s="2"/>
      <c r="H37" s="2"/>
      <c r="I37" s="6"/>
    </row>
    <row r="38" spans="1:9">
      <c r="A38" s="5"/>
      <c r="B38" s="2"/>
      <c r="C38" s="3"/>
      <c r="D38" s="2"/>
      <c r="E38" s="2"/>
      <c r="F38" s="2"/>
      <c r="G38" s="2"/>
      <c r="H38" s="2"/>
      <c r="I38" s="6"/>
    </row>
    <row r="39" spans="1:9">
      <c r="A39" s="5"/>
      <c r="B39" s="2"/>
      <c r="C39" s="3"/>
      <c r="D39" s="2"/>
      <c r="E39" s="2"/>
      <c r="F39" s="2"/>
      <c r="G39" s="2"/>
      <c r="H39" s="2"/>
      <c r="I39" s="6"/>
    </row>
    <row r="40" spans="1:9">
      <c r="A40" s="5"/>
      <c r="B40" s="2"/>
      <c r="C40" s="3"/>
      <c r="D40" s="2"/>
      <c r="E40" s="2"/>
      <c r="F40" s="2"/>
      <c r="G40" s="2"/>
      <c r="H40" s="2"/>
      <c r="I40" s="6"/>
    </row>
    <row r="41" spans="1:9">
      <c r="A41" s="5"/>
      <c r="B41" s="2"/>
      <c r="C41" s="3"/>
      <c r="D41" s="2"/>
      <c r="E41" s="2"/>
      <c r="F41" s="2"/>
      <c r="G41" s="2"/>
      <c r="H41" s="2"/>
      <c r="I41" s="6"/>
    </row>
    <row r="42" spans="1:9">
      <c r="A42" s="5"/>
      <c r="B42" s="2"/>
      <c r="C42" s="3"/>
      <c r="D42" s="2"/>
      <c r="E42" s="2"/>
      <c r="F42" s="2"/>
      <c r="G42" s="2"/>
      <c r="H42" s="2"/>
      <c r="I42" s="6"/>
    </row>
    <row r="43" spans="1:9">
      <c r="A43" s="5"/>
      <c r="B43" s="2"/>
      <c r="C43" s="3"/>
      <c r="D43" s="2"/>
      <c r="E43" s="2"/>
      <c r="F43" s="2"/>
      <c r="G43" s="2"/>
      <c r="H43" s="2"/>
      <c r="I43" s="6"/>
    </row>
    <row r="44" spans="1:9">
      <c r="A44" s="5"/>
      <c r="B44" s="2"/>
      <c r="C44" s="3"/>
      <c r="D44" s="2"/>
      <c r="E44" s="2"/>
      <c r="F44" s="2"/>
      <c r="G44" s="2"/>
      <c r="H44" s="2"/>
      <c r="I44" s="6"/>
    </row>
    <row r="45" spans="1:9">
      <c r="A45" s="5"/>
      <c r="B45" s="2"/>
      <c r="C45" s="3"/>
      <c r="D45" s="2"/>
      <c r="E45" s="2"/>
      <c r="F45" s="2"/>
      <c r="G45" s="2"/>
      <c r="H45" s="2"/>
      <c r="I45" s="6"/>
    </row>
    <row r="46" spans="1:9">
      <c r="A46" s="5"/>
      <c r="B46" s="2"/>
      <c r="C46" s="3"/>
      <c r="D46" s="2"/>
      <c r="E46" s="2"/>
      <c r="F46" s="2"/>
      <c r="G46" s="2"/>
      <c r="H46" s="2"/>
      <c r="I46" s="6"/>
    </row>
    <row r="47" spans="1:9">
      <c r="A47" s="5"/>
      <c r="B47" s="2"/>
      <c r="C47" s="3"/>
      <c r="D47" s="2"/>
      <c r="E47" s="2"/>
      <c r="F47" s="2"/>
      <c r="G47" s="2"/>
      <c r="H47" s="2"/>
      <c r="I47" s="6"/>
    </row>
    <row r="48" spans="1:9">
      <c r="A48" s="5"/>
      <c r="B48" s="2"/>
      <c r="C48" s="3"/>
      <c r="D48" s="2"/>
      <c r="E48" s="2"/>
      <c r="F48" s="2"/>
      <c r="G48" s="2"/>
      <c r="H48" s="2"/>
      <c r="I48" s="6"/>
    </row>
    <row r="49" spans="1:9">
      <c r="A49" s="5"/>
      <c r="B49" s="2"/>
      <c r="C49" s="3"/>
      <c r="D49" s="2"/>
      <c r="E49" s="2"/>
      <c r="F49" s="2"/>
      <c r="G49" s="2"/>
      <c r="H49" s="2"/>
      <c r="I49" s="6"/>
    </row>
    <row r="50" spans="1:9">
      <c r="A50" s="5"/>
      <c r="B50" s="2"/>
      <c r="C50" s="3"/>
      <c r="D50" s="2"/>
      <c r="E50" s="2"/>
      <c r="F50" s="2"/>
      <c r="G50" s="2"/>
      <c r="H50" s="2"/>
      <c r="I50" s="6"/>
    </row>
    <row r="51" spans="1:9">
      <c r="A51" s="5"/>
      <c r="B51" s="2"/>
      <c r="C51" s="3"/>
      <c r="D51" s="2"/>
      <c r="E51" s="2"/>
      <c r="F51" s="2"/>
      <c r="G51" s="2"/>
      <c r="H51" s="2"/>
      <c r="I51" s="6"/>
    </row>
    <row r="52" spans="1:9">
      <c r="A52" s="5"/>
      <c r="B52" s="2"/>
      <c r="C52" s="3"/>
      <c r="D52" s="2"/>
      <c r="E52" s="2"/>
      <c r="F52" s="2"/>
      <c r="G52" s="2"/>
      <c r="H52" s="2"/>
      <c r="I52" s="6"/>
    </row>
    <row r="53" spans="1:9">
      <c r="A53" s="5"/>
      <c r="B53" s="2"/>
      <c r="C53" s="3"/>
      <c r="D53" s="2"/>
      <c r="E53" s="2"/>
      <c r="F53" s="2"/>
      <c r="G53" s="2"/>
      <c r="H53" s="2"/>
      <c r="I53" s="6"/>
    </row>
    <row r="54" spans="1:9">
      <c r="A54" s="5"/>
      <c r="B54" s="2"/>
      <c r="C54" s="3"/>
      <c r="D54" s="2"/>
      <c r="E54" s="2"/>
      <c r="F54" s="2"/>
      <c r="G54" s="2"/>
      <c r="H54" s="2"/>
      <c r="I54" s="6"/>
    </row>
    <row r="55" spans="1:9">
      <c r="A55" s="5"/>
      <c r="B55" s="2"/>
      <c r="C55" s="3"/>
      <c r="D55" s="2"/>
      <c r="E55" s="2"/>
      <c r="F55" s="2"/>
      <c r="G55" s="2"/>
      <c r="H55" s="2"/>
      <c r="I55" s="6"/>
    </row>
    <row r="56" spans="1:9">
      <c r="A56" s="5"/>
      <c r="B56" s="2"/>
      <c r="C56" s="3"/>
      <c r="D56" s="2"/>
      <c r="E56" s="2"/>
      <c r="F56" s="2"/>
      <c r="G56" s="2"/>
      <c r="H56" s="2"/>
      <c r="I56" s="6"/>
    </row>
    <row r="57" spans="1:9">
      <c r="A57" s="5"/>
      <c r="B57" s="2"/>
      <c r="C57" s="3"/>
      <c r="D57" s="2"/>
      <c r="E57" s="2"/>
      <c r="F57" s="2"/>
      <c r="G57" s="2"/>
      <c r="H57" s="2"/>
      <c r="I57" s="6"/>
    </row>
    <row r="58" spans="1:9">
      <c r="A58" s="5"/>
      <c r="B58" s="2"/>
      <c r="C58" s="3"/>
      <c r="D58" s="2"/>
      <c r="E58" s="2"/>
      <c r="F58" s="2"/>
      <c r="G58" s="2"/>
      <c r="H58" s="2"/>
      <c r="I58" s="6"/>
    </row>
    <row r="59" spans="1:9">
      <c r="A59" s="5"/>
      <c r="B59" s="2"/>
      <c r="C59" s="3"/>
      <c r="D59" s="2"/>
      <c r="E59" s="2"/>
      <c r="F59" s="2"/>
      <c r="G59" s="2"/>
      <c r="H59" s="2"/>
      <c r="I59" s="6"/>
    </row>
    <row r="60" spans="1:9">
      <c r="A60" s="5"/>
      <c r="B60" s="2"/>
      <c r="C60" s="3"/>
      <c r="D60" s="2"/>
      <c r="E60" s="2"/>
      <c r="F60" s="2"/>
      <c r="G60" s="2"/>
      <c r="H60" s="2"/>
      <c r="I60" s="6"/>
    </row>
    <row r="61" spans="1:9">
      <c r="A61" s="5"/>
      <c r="B61" s="2"/>
      <c r="C61" s="3"/>
      <c r="D61" s="2"/>
      <c r="E61" s="2"/>
      <c r="F61" s="2"/>
      <c r="G61" s="2"/>
      <c r="H61" s="2"/>
      <c r="I61" s="6"/>
    </row>
    <row r="62" spans="1:9">
      <c r="A62" s="5"/>
      <c r="B62" s="2"/>
      <c r="C62" s="3"/>
      <c r="D62" s="2"/>
      <c r="E62" s="2"/>
      <c r="F62" s="2"/>
      <c r="G62" s="2"/>
      <c r="H62" s="2"/>
      <c r="I62" s="6"/>
    </row>
    <row r="63" spans="1:9">
      <c r="A63" s="5"/>
      <c r="B63" s="2"/>
      <c r="C63" s="3"/>
      <c r="D63" s="2"/>
      <c r="E63" s="2"/>
      <c r="F63" s="2"/>
      <c r="G63" s="2"/>
      <c r="H63" s="2"/>
      <c r="I63" s="6"/>
    </row>
    <row r="64" spans="1:9">
      <c r="A64" s="5"/>
      <c r="B64" s="2"/>
      <c r="C64" s="3"/>
      <c r="D64" s="2"/>
      <c r="E64" s="2"/>
      <c r="F64" s="2"/>
      <c r="G64" s="2"/>
      <c r="H64" s="2"/>
      <c r="I64" s="6"/>
    </row>
    <row r="65" spans="1:9">
      <c r="A65" s="5"/>
      <c r="B65" s="2"/>
      <c r="C65" s="3"/>
      <c r="D65" s="2"/>
      <c r="E65" s="2"/>
      <c r="F65" s="2"/>
      <c r="G65" s="2"/>
      <c r="H65" s="2"/>
      <c r="I65" s="6"/>
    </row>
    <row r="66" spans="1:9">
      <c r="A66" s="5"/>
      <c r="B66" s="2"/>
      <c r="C66" s="3"/>
      <c r="D66" s="2"/>
      <c r="E66" s="2"/>
      <c r="F66" s="2"/>
      <c r="G66" s="2"/>
      <c r="H66" s="2"/>
      <c r="I66" s="6"/>
    </row>
    <row r="67" spans="1:9">
      <c r="A67" s="5"/>
      <c r="B67" s="2"/>
      <c r="C67" s="3"/>
      <c r="D67" s="2"/>
      <c r="E67" s="2"/>
      <c r="F67" s="2"/>
      <c r="G67" s="2"/>
      <c r="H67" s="2"/>
      <c r="I67" s="6"/>
    </row>
    <row r="68" spans="1:9">
      <c r="A68" s="5"/>
      <c r="B68" s="2"/>
      <c r="C68" s="3"/>
      <c r="D68" s="2"/>
      <c r="E68" s="2"/>
      <c r="F68" s="2"/>
      <c r="G68" s="2"/>
      <c r="H68" s="2"/>
      <c r="I68" s="6"/>
    </row>
    <row r="69" spans="1:9">
      <c r="A69" s="5"/>
      <c r="B69" s="2"/>
      <c r="C69" s="3"/>
      <c r="D69" s="2"/>
      <c r="E69" s="2"/>
      <c r="F69" s="2"/>
      <c r="G69" s="2"/>
      <c r="H69" s="2"/>
      <c r="I69" s="6"/>
    </row>
    <row r="70" spans="1:9">
      <c r="A70" s="5"/>
      <c r="B70" s="2"/>
      <c r="C70" s="3"/>
      <c r="D70" s="2"/>
      <c r="E70" s="2"/>
      <c r="F70" s="2"/>
      <c r="G70" s="2"/>
      <c r="H70" s="2"/>
      <c r="I70" s="6"/>
    </row>
    <row r="71" spans="1:9">
      <c r="A71" s="5"/>
      <c r="B71" s="2"/>
      <c r="C71" s="3"/>
      <c r="D71" s="2"/>
      <c r="E71" s="2"/>
      <c r="F71" s="2"/>
      <c r="G71" s="2"/>
      <c r="H71" s="2"/>
      <c r="I71" s="6"/>
    </row>
    <row r="72" spans="1:9">
      <c r="A72" s="5"/>
      <c r="B72" s="2"/>
      <c r="C72" s="3"/>
      <c r="D72" s="2"/>
      <c r="E72" s="2"/>
      <c r="F72" s="2"/>
      <c r="G72" s="2"/>
      <c r="H72" s="2"/>
      <c r="I72" s="6"/>
    </row>
    <row r="73" spans="1:9">
      <c r="A73" s="5"/>
      <c r="B73" s="2"/>
      <c r="C73" s="3"/>
      <c r="D73" s="2"/>
      <c r="E73" s="2"/>
      <c r="F73" s="2"/>
      <c r="G73" s="2"/>
      <c r="H73" s="2"/>
      <c r="I73" s="6"/>
    </row>
    <row r="74" spans="1:9">
      <c r="A74" s="5"/>
      <c r="B74" s="2"/>
      <c r="C74" s="3"/>
      <c r="D74" s="2"/>
      <c r="E74" s="2"/>
      <c r="F74" s="2"/>
      <c r="G74" s="2"/>
      <c r="H74" s="2"/>
      <c r="I74" s="6"/>
    </row>
    <row r="75" spans="1:9">
      <c r="A75" s="5"/>
      <c r="B75" s="2"/>
      <c r="C75" s="3"/>
      <c r="D75" s="2"/>
      <c r="E75" s="2"/>
      <c r="F75" s="2"/>
      <c r="G75" s="2"/>
      <c r="H75" s="2"/>
      <c r="I75" s="6"/>
    </row>
    <row r="76" spans="1:9">
      <c r="A76" s="5"/>
      <c r="B76" s="2"/>
      <c r="C76" s="3"/>
      <c r="D76" s="2"/>
      <c r="E76" s="2"/>
      <c r="F76" s="2"/>
      <c r="G76" s="2"/>
      <c r="H76" s="2"/>
      <c r="I76" s="6"/>
    </row>
    <row r="77" spans="1:9">
      <c r="A77" s="5"/>
      <c r="B77" s="2"/>
      <c r="C77" s="3"/>
      <c r="D77" s="2"/>
      <c r="E77" s="2"/>
      <c r="F77" s="2"/>
      <c r="G77" s="2"/>
      <c r="H77" s="2"/>
      <c r="I77" s="6"/>
    </row>
    <row r="78" spans="1:9">
      <c r="A78" s="5"/>
      <c r="B78" s="2"/>
      <c r="C78" s="3"/>
      <c r="D78" s="2"/>
      <c r="E78" s="2"/>
      <c r="F78" s="2"/>
      <c r="G78" s="2"/>
      <c r="H78" s="2"/>
      <c r="I78" s="6"/>
    </row>
    <row r="79" spans="1:9">
      <c r="A79" s="5"/>
      <c r="B79" s="2"/>
      <c r="C79" s="3"/>
      <c r="D79" s="2"/>
      <c r="E79" s="2"/>
      <c r="F79" s="2"/>
      <c r="G79" s="2"/>
      <c r="H79" s="2"/>
      <c r="I79" s="6"/>
    </row>
    <row r="80" spans="1:9">
      <c r="A80" s="5"/>
      <c r="B80" s="2"/>
      <c r="C80" s="3"/>
      <c r="D80" s="2"/>
      <c r="E80" s="2"/>
      <c r="F80" s="2"/>
      <c r="G80" s="2"/>
      <c r="H80" s="2"/>
      <c r="I80" s="6"/>
    </row>
    <row r="81" spans="1:9">
      <c r="A81" s="5"/>
      <c r="B81" s="2"/>
      <c r="C81" s="3"/>
      <c r="D81" s="2"/>
      <c r="E81" s="2"/>
      <c r="F81" s="2"/>
      <c r="G81" s="2"/>
      <c r="H81" s="2"/>
      <c r="I81" s="6"/>
    </row>
    <row r="82" spans="1:9">
      <c r="A82" s="5"/>
      <c r="B82" s="2"/>
      <c r="C82" s="3"/>
      <c r="D82" s="2"/>
      <c r="E82" s="2"/>
      <c r="F82" s="2"/>
      <c r="G82" s="2"/>
      <c r="H82" s="2"/>
      <c r="I82" s="6"/>
    </row>
    <row r="83" spans="1:9">
      <c r="A83" s="5"/>
      <c r="B83" s="2"/>
      <c r="C83" s="3"/>
      <c r="D83" s="2"/>
      <c r="E83" s="2"/>
      <c r="F83" s="2"/>
      <c r="G83" s="2"/>
      <c r="H83" s="2"/>
      <c r="I83" s="6"/>
    </row>
    <row r="84" spans="1:9">
      <c r="A84" s="5"/>
      <c r="B84" s="2"/>
      <c r="C84" s="3"/>
      <c r="D84" s="2"/>
      <c r="E84" s="2"/>
      <c r="F84" s="2"/>
      <c r="G84" s="2"/>
      <c r="H84" s="2"/>
      <c r="I84" s="6"/>
    </row>
    <row r="85" spans="1:9">
      <c r="A85" s="5"/>
      <c r="B85" s="2"/>
      <c r="C85" s="3"/>
      <c r="D85" s="2"/>
      <c r="E85" s="2"/>
      <c r="F85" s="2"/>
      <c r="G85" s="2"/>
      <c r="H85" s="2"/>
      <c r="I85" s="6"/>
    </row>
    <row r="86" spans="1:9">
      <c r="A86" s="5"/>
      <c r="B86" s="2"/>
      <c r="C86" s="3"/>
      <c r="D86" s="2"/>
      <c r="E86" s="2"/>
      <c r="F86" s="2"/>
      <c r="G86" s="2"/>
      <c r="H86" s="2"/>
      <c r="I86" s="6"/>
    </row>
    <row r="87" spans="1:9">
      <c r="A87" s="5"/>
      <c r="B87" s="2"/>
      <c r="C87" s="3"/>
      <c r="D87" s="2"/>
      <c r="E87" s="2"/>
      <c r="F87" s="2"/>
      <c r="G87" s="2"/>
      <c r="H87" s="2"/>
      <c r="I87" s="6"/>
    </row>
    <row r="88" spans="1:9">
      <c r="A88" s="5"/>
      <c r="B88" s="2"/>
      <c r="C88" s="3"/>
      <c r="D88" s="2"/>
      <c r="E88" s="2"/>
      <c r="F88" s="2"/>
      <c r="G88" s="2"/>
      <c r="H88" s="2"/>
      <c r="I88" s="6"/>
    </row>
    <row r="89" spans="1:9">
      <c r="A89" s="5"/>
      <c r="B89" s="2"/>
      <c r="C89" s="3"/>
      <c r="D89" s="2"/>
      <c r="E89" s="2"/>
      <c r="F89" s="2"/>
      <c r="G89" s="2"/>
      <c r="H89" s="2"/>
      <c r="I89" s="6"/>
    </row>
    <row r="90" spans="1:9">
      <c r="A90" s="5"/>
      <c r="B90" s="2"/>
      <c r="C90" s="3"/>
      <c r="D90" s="2"/>
      <c r="E90" s="2"/>
      <c r="F90" s="2"/>
      <c r="G90" s="2"/>
      <c r="H90" s="2"/>
      <c r="I90" s="6"/>
    </row>
    <row r="91" spans="1:9">
      <c r="A91" s="5"/>
      <c r="B91" s="2"/>
      <c r="C91" s="3"/>
      <c r="D91" s="2"/>
      <c r="E91" s="2"/>
      <c r="F91" s="2"/>
      <c r="G91" s="2"/>
      <c r="H91" s="2"/>
      <c r="I91" s="6"/>
    </row>
    <row r="92" spans="1:9">
      <c r="A92" s="5"/>
      <c r="B92" s="2"/>
      <c r="C92" s="3"/>
      <c r="D92" s="2"/>
      <c r="E92" s="2"/>
      <c r="F92" s="2"/>
      <c r="G92" s="2"/>
      <c r="H92" s="2"/>
      <c r="I92" s="6"/>
    </row>
    <row r="93" spans="1:9">
      <c r="A93" s="5"/>
      <c r="B93" s="2"/>
      <c r="C93" s="3"/>
      <c r="D93" s="2"/>
      <c r="E93" s="2"/>
      <c r="F93" s="2"/>
      <c r="G93" s="2"/>
      <c r="H93" s="2"/>
      <c r="I93" s="6"/>
    </row>
    <row r="94" spans="1:9">
      <c r="A94" s="5"/>
      <c r="B94" s="2"/>
      <c r="C94" s="3"/>
      <c r="D94" s="2"/>
      <c r="E94" s="2"/>
      <c r="F94" s="2"/>
      <c r="G94" s="2"/>
      <c r="H94" s="2"/>
      <c r="I94" s="6"/>
    </row>
    <row r="95" spans="1:9">
      <c r="A95" s="5"/>
      <c r="B95" s="2"/>
      <c r="C95" s="3"/>
      <c r="D95" s="2"/>
      <c r="E95" s="2"/>
      <c r="F95" s="2"/>
      <c r="G95" s="2"/>
      <c r="H95" s="2"/>
      <c r="I95" s="6"/>
    </row>
    <row r="96" spans="1:9">
      <c r="A96" s="5"/>
      <c r="B96" s="2"/>
      <c r="C96" s="3"/>
      <c r="D96" s="2"/>
      <c r="E96" s="2"/>
      <c r="F96" s="2"/>
      <c r="G96" s="2"/>
      <c r="H96" s="2"/>
      <c r="I96" s="6"/>
    </row>
    <row r="97" spans="1:9">
      <c r="A97" s="5"/>
      <c r="B97" s="2"/>
      <c r="C97" s="3"/>
      <c r="D97" s="2"/>
      <c r="E97" s="2"/>
      <c r="F97" s="2"/>
      <c r="G97" s="2"/>
      <c r="H97" s="2"/>
      <c r="I97" s="6"/>
    </row>
    <row r="98" spans="1:9">
      <c r="A98" s="5"/>
      <c r="B98" s="2"/>
      <c r="C98" s="3"/>
      <c r="D98" s="2"/>
      <c r="E98" s="2"/>
      <c r="F98" s="2"/>
      <c r="G98" s="2"/>
      <c r="H98" s="2"/>
      <c r="I98" s="6"/>
    </row>
    <row r="99" spans="1:9">
      <c r="A99" s="5"/>
      <c r="B99" s="2"/>
      <c r="C99" s="3"/>
      <c r="D99" s="2"/>
      <c r="E99" s="2"/>
      <c r="F99" s="2"/>
      <c r="G99" s="2"/>
      <c r="H99" s="2"/>
      <c r="I99" s="6"/>
    </row>
    <row r="100" spans="1:9">
      <c r="A100" s="10"/>
      <c r="B100" s="11"/>
      <c r="C100" s="12"/>
      <c r="D100" s="11"/>
      <c r="E100" s="11"/>
      <c r="F100" s="11"/>
      <c r="G100" s="11"/>
      <c r="H100" s="11"/>
      <c r="I100" s="13"/>
    </row>
    <row r="101" spans="1:9">
      <c r="C101" s="1"/>
      <c r="I101" s="1"/>
    </row>
    <row r="102" spans="1:9">
      <c r="C102" s="1"/>
      <c r="I102" s="1"/>
    </row>
    <row r="103" spans="1:9">
      <c r="C103" s="1"/>
      <c r="I103" s="1"/>
    </row>
    <row r="104" spans="1:9">
      <c r="C104" s="1"/>
      <c r="I104" s="1"/>
    </row>
    <row r="105" spans="1:9">
      <c r="C105" s="1"/>
      <c r="I105" s="1"/>
    </row>
    <row r="106" spans="1:9">
      <c r="C106" s="1"/>
      <c r="I106" s="1"/>
    </row>
    <row r="107" spans="1:9">
      <c r="C107" s="1"/>
      <c r="I107" s="1"/>
    </row>
    <row r="108" spans="1:9">
      <c r="C108" s="1"/>
      <c r="I108" s="1"/>
    </row>
    <row r="109" spans="1:9">
      <c r="C109" s="1"/>
      <c r="I109" s="1"/>
    </row>
    <row r="110" spans="1:9">
      <c r="C110" s="1"/>
      <c r="I110" s="1"/>
    </row>
    <row r="111" spans="1:9">
      <c r="C111" s="1"/>
      <c r="I111" s="1"/>
    </row>
    <row r="112" spans="1:9">
      <c r="C112" s="1"/>
      <c r="I112" s="1"/>
    </row>
    <row r="113" spans="3:9">
      <c r="C113" s="1"/>
      <c r="I113" s="1"/>
    </row>
    <row r="114" spans="3:9">
      <c r="C114" s="1"/>
      <c r="I114" s="1"/>
    </row>
    <row r="115" spans="3:9">
      <c r="C115" s="1"/>
      <c r="I115" s="1"/>
    </row>
    <row r="116" spans="3:9">
      <c r="C116" s="1"/>
      <c r="I116" s="1"/>
    </row>
    <row r="117" spans="3:9">
      <c r="C117" s="1"/>
      <c r="I117" s="1"/>
    </row>
    <row r="118" spans="3:9">
      <c r="C118" s="1"/>
      <c r="I118" s="1"/>
    </row>
    <row r="119" spans="3:9">
      <c r="C119" s="1"/>
      <c r="I119" s="1"/>
    </row>
    <row r="120" spans="3:9">
      <c r="C120" s="1"/>
      <c r="I120" s="1"/>
    </row>
    <row r="121" spans="3:9">
      <c r="C121" s="1"/>
      <c r="I121" s="1"/>
    </row>
    <row r="122" spans="3:9">
      <c r="C122" s="1"/>
      <c r="I122" s="1"/>
    </row>
    <row r="123" spans="3:9">
      <c r="C123" s="1"/>
      <c r="I123" s="1"/>
    </row>
    <row r="124" spans="3:9">
      <c r="C124" s="1"/>
      <c r="I124" s="1"/>
    </row>
    <row r="125" spans="3:9">
      <c r="C125" s="1"/>
      <c r="I125" s="1"/>
    </row>
    <row r="126" spans="3:9">
      <c r="C126" s="1"/>
      <c r="I126" s="1"/>
    </row>
    <row r="127" spans="3:9">
      <c r="C127" s="1"/>
      <c r="I127" s="1"/>
    </row>
    <row r="128" spans="3:9">
      <c r="C128" s="1"/>
      <c r="I128" s="1"/>
    </row>
    <row r="129" spans="3:9">
      <c r="C129" s="1"/>
      <c r="I129" s="1"/>
    </row>
    <row r="130" spans="3:9">
      <c r="C130" s="1"/>
      <c r="I130" s="1"/>
    </row>
    <row r="131" spans="3:9">
      <c r="C131" s="1"/>
      <c r="I131" s="1"/>
    </row>
    <row r="132" spans="3:9">
      <c r="C132" s="1"/>
      <c r="I132" s="1"/>
    </row>
    <row r="133" spans="3:9">
      <c r="C133" s="1"/>
      <c r="I133" s="1"/>
    </row>
    <row r="134" spans="3:9">
      <c r="C134" s="1"/>
      <c r="I134" s="1"/>
    </row>
    <row r="135" spans="3:9">
      <c r="C135" s="1"/>
      <c r="I135" s="1"/>
    </row>
    <row r="136" spans="3:9">
      <c r="C136" s="1"/>
      <c r="I136" s="1"/>
    </row>
    <row r="137" spans="3:9">
      <c r="C137" s="1"/>
      <c r="I137" s="1"/>
    </row>
    <row r="138" spans="3:9">
      <c r="C138" s="1"/>
      <c r="I138" s="1"/>
    </row>
    <row r="139" spans="3:9">
      <c r="C139" s="1"/>
      <c r="I139" s="1"/>
    </row>
    <row r="140" spans="3:9">
      <c r="C140" s="1"/>
      <c r="I140" s="1"/>
    </row>
    <row r="141" spans="3:9">
      <c r="C141" s="1"/>
      <c r="I141" s="1"/>
    </row>
    <row r="142" spans="3:9">
      <c r="C142" s="1"/>
      <c r="I142" s="1"/>
    </row>
    <row r="143" spans="3:9">
      <c r="C143" s="1"/>
      <c r="I143" s="1"/>
    </row>
    <row r="144" spans="3:9">
      <c r="C144" s="1"/>
      <c r="I144" s="1"/>
    </row>
    <row r="145" spans="3:9">
      <c r="C145" s="1"/>
      <c r="I145" s="1"/>
    </row>
    <row r="146" spans="3:9">
      <c r="C146" s="1"/>
      <c r="I146" s="1"/>
    </row>
    <row r="147" spans="3:9">
      <c r="C147" s="1"/>
      <c r="I147" s="1"/>
    </row>
    <row r="148" spans="3:9">
      <c r="C148" s="1"/>
      <c r="I148" s="1"/>
    </row>
    <row r="149" spans="3:9">
      <c r="C149" s="1"/>
      <c r="I149" s="1"/>
    </row>
    <row r="150" spans="3:9">
      <c r="C150" s="1"/>
      <c r="I150" s="1"/>
    </row>
    <row r="151" spans="3:9">
      <c r="C151" s="1"/>
      <c r="I151" s="1"/>
    </row>
    <row r="152" spans="3:9">
      <c r="C152" s="1"/>
      <c r="I152" s="1"/>
    </row>
    <row r="153" spans="3:9">
      <c r="C153" s="1"/>
      <c r="I153" s="1"/>
    </row>
    <row r="154" spans="3:9">
      <c r="C154" s="1"/>
      <c r="I154" s="1"/>
    </row>
    <row r="155" spans="3:9">
      <c r="C155" s="1"/>
      <c r="I155" s="1"/>
    </row>
    <row r="156" spans="3:9">
      <c r="C156" s="1"/>
      <c r="I156" s="1"/>
    </row>
    <row r="157" spans="3:9">
      <c r="C157" s="1"/>
      <c r="I157" s="1"/>
    </row>
    <row r="158" spans="3:9">
      <c r="C158" s="1"/>
      <c r="I158" s="1"/>
    </row>
    <row r="159" spans="3:9">
      <c r="C159" s="1"/>
      <c r="I159" s="1"/>
    </row>
    <row r="160" spans="3:9">
      <c r="C160" s="1"/>
      <c r="I160" s="1"/>
    </row>
    <row r="161" spans="3:9">
      <c r="C161" s="1"/>
      <c r="I161" s="1"/>
    </row>
    <row r="162" spans="3:9">
      <c r="C162" s="1"/>
      <c r="I162" s="1"/>
    </row>
    <row r="163" spans="3:9">
      <c r="C163" s="1"/>
      <c r="I163" s="1"/>
    </row>
    <row r="164" spans="3:9">
      <c r="C164" s="1"/>
      <c r="I164" s="1"/>
    </row>
    <row r="165" spans="3:9">
      <c r="C165" s="1"/>
      <c r="I165" s="1"/>
    </row>
    <row r="166" spans="3:9">
      <c r="C166" s="1"/>
      <c r="I166" s="1"/>
    </row>
    <row r="167" spans="3:9">
      <c r="C167" s="1"/>
      <c r="I167" s="1"/>
    </row>
    <row r="168" spans="3:9">
      <c r="C168" s="1"/>
      <c r="I168" s="1"/>
    </row>
    <row r="169" spans="3:9">
      <c r="C169" s="1"/>
      <c r="I169" s="1"/>
    </row>
    <row r="170" spans="3:9">
      <c r="C170" s="1"/>
      <c r="I170" s="1"/>
    </row>
    <row r="171" spans="3:9">
      <c r="C171" s="1"/>
      <c r="I171" s="1"/>
    </row>
    <row r="172" spans="3:9">
      <c r="C172" s="1"/>
      <c r="I172" s="1"/>
    </row>
    <row r="173" spans="3:9">
      <c r="C173" s="1"/>
      <c r="I173" s="1"/>
    </row>
    <row r="174" spans="3:9">
      <c r="C174" s="1"/>
      <c r="I174" s="1"/>
    </row>
    <row r="175" spans="3:9">
      <c r="C175" s="1"/>
      <c r="I175" s="1"/>
    </row>
    <row r="176" spans="3:9">
      <c r="C176" s="1"/>
      <c r="I176" s="1"/>
    </row>
    <row r="177" spans="3:9">
      <c r="C177" s="1"/>
      <c r="I177" s="1"/>
    </row>
    <row r="178" spans="3:9">
      <c r="C178" s="1"/>
      <c r="I178" s="1"/>
    </row>
    <row r="179" spans="3:9">
      <c r="C179" s="1"/>
      <c r="I179" s="1"/>
    </row>
    <row r="180" spans="3:9">
      <c r="C180" s="1"/>
      <c r="I180" s="1"/>
    </row>
    <row r="181" spans="3:9">
      <c r="C181" s="1"/>
      <c r="I181" s="1"/>
    </row>
    <row r="182" spans="3:9">
      <c r="C182" s="1"/>
      <c r="I182" s="1"/>
    </row>
    <row r="183" spans="3:9">
      <c r="C183" s="1"/>
      <c r="I183" s="1"/>
    </row>
    <row r="184" spans="3:9">
      <c r="C184" s="1"/>
      <c r="I184" s="1"/>
    </row>
    <row r="185" spans="3:9">
      <c r="C185" s="1"/>
      <c r="I185" s="1"/>
    </row>
    <row r="186" spans="3:9">
      <c r="C186" s="1"/>
      <c r="I186" s="1"/>
    </row>
    <row r="187" spans="3:9">
      <c r="C187" s="1"/>
      <c r="I187" s="1"/>
    </row>
    <row r="188" spans="3:9">
      <c r="C188" s="1"/>
      <c r="I188" s="1"/>
    </row>
    <row r="189" spans="3:9">
      <c r="C189" s="1"/>
      <c r="I189" s="1"/>
    </row>
    <row r="190" spans="3:9">
      <c r="C190" s="1"/>
      <c r="I190" s="1"/>
    </row>
    <row r="191" spans="3:9">
      <c r="C191" s="1"/>
      <c r="I191" s="1"/>
    </row>
    <row r="192" spans="3:9">
      <c r="C192" s="1"/>
      <c r="I192" s="1"/>
    </row>
    <row r="193" spans="3:9">
      <c r="C193" s="1"/>
      <c r="I193" s="1"/>
    </row>
    <row r="194" spans="3:9">
      <c r="C194" s="1"/>
      <c r="I194" s="1"/>
    </row>
    <row r="195" spans="3:9">
      <c r="C195" s="1"/>
      <c r="I195" s="1"/>
    </row>
    <row r="196" spans="3:9">
      <c r="C196" s="1"/>
      <c r="I196" s="1"/>
    </row>
    <row r="197" spans="3:9">
      <c r="C197" s="1"/>
      <c r="I197" s="1"/>
    </row>
    <row r="198" spans="3:9">
      <c r="C198" s="1"/>
      <c r="I198" s="1"/>
    </row>
    <row r="199" spans="3:9">
      <c r="C199" s="1"/>
      <c r="I199" s="1"/>
    </row>
    <row r="200" spans="3:9">
      <c r="C200" s="1"/>
      <c r="I200" s="1"/>
    </row>
    <row r="201" spans="3:9">
      <c r="C201" s="1"/>
      <c r="I201" s="1"/>
    </row>
    <row r="202" spans="3:9">
      <c r="C202" s="1"/>
      <c r="I202" s="1"/>
    </row>
    <row r="203" spans="3:9">
      <c r="C203" s="1"/>
      <c r="I203" s="1"/>
    </row>
    <row r="204" spans="3:9">
      <c r="C204" s="1"/>
      <c r="I204" s="1"/>
    </row>
    <row r="205" spans="3:9">
      <c r="C205" s="1"/>
      <c r="I205" s="1"/>
    </row>
    <row r="206" spans="3:9">
      <c r="C206" s="1"/>
      <c r="I206" s="1"/>
    </row>
    <row r="207" spans="3:9">
      <c r="C207" s="1"/>
      <c r="I207" s="1"/>
    </row>
    <row r="208" spans="3:9">
      <c r="C208" s="1"/>
      <c r="I208" s="1"/>
    </row>
    <row r="209" spans="3:9">
      <c r="C209" s="1"/>
      <c r="I209" s="1"/>
    </row>
    <row r="210" spans="3:9">
      <c r="C210" s="1"/>
      <c r="I210" s="1"/>
    </row>
    <row r="211" spans="3:9">
      <c r="C211" s="1"/>
      <c r="I211" s="1"/>
    </row>
    <row r="212" spans="3:9">
      <c r="C212" s="1"/>
      <c r="I212" s="1"/>
    </row>
    <row r="213" spans="3:9">
      <c r="C213" s="1"/>
      <c r="I213" s="1"/>
    </row>
    <row r="214" spans="3:9">
      <c r="C214" s="1"/>
      <c r="I214" s="1"/>
    </row>
    <row r="215" spans="3:9">
      <c r="C215" s="1"/>
      <c r="I215" s="1"/>
    </row>
    <row r="216" spans="3:9">
      <c r="C216" s="1"/>
      <c r="I216" s="1"/>
    </row>
    <row r="217" spans="3:9">
      <c r="C217" s="1"/>
      <c r="I217" s="1"/>
    </row>
    <row r="218" spans="3:9">
      <c r="C218" s="1"/>
      <c r="I218" s="1"/>
    </row>
    <row r="219" spans="3:9">
      <c r="C219" s="1"/>
      <c r="I219" s="1"/>
    </row>
    <row r="220" spans="3:9">
      <c r="C220" s="1"/>
      <c r="I220" s="1"/>
    </row>
    <row r="221" spans="3:9">
      <c r="C221" s="1"/>
      <c r="I221" s="1"/>
    </row>
    <row r="222" spans="3:9">
      <c r="C222" s="1"/>
      <c r="I222" s="1"/>
    </row>
    <row r="223" spans="3:9">
      <c r="C223" s="1"/>
      <c r="I223" s="1"/>
    </row>
    <row r="224" spans="3:9">
      <c r="C224" s="1"/>
      <c r="I224" s="1"/>
    </row>
    <row r="225" spans="3:9">
      <c r="C225" s="1"/>
      <c r="I225" s="1"/>
    </row>
    <row r="226" spans="3:9">
      <c r="C226" s="1"/>
      <c r="I226" s="1"/>
    </row>
    <row r="227" spans="3:9">
      <c r="C227" s="1"/>
      <c r="I227" s="1"/>
    </row>
    <row r="228" spans="3:9">
      <c r="C228" s="1"/>
      <c r="I228" s="1"/>
    </row>
    <row r="229" spans="3:9">
      <c r="C229" s="1"/>
      <c r="I229" s="1"/>
    </row>
    <row r="230" spans="3:9">
      <c r="C230" s="1"/>
      <c r="I230" s="1"/>
    </row>
    <row r="231" spans="3:9">
      <c r="C231" s="1"/>
      <c r="I231" s="1"/>
    </row>
    <row r="232" spans="3:9">
      <c r="C232" s="1"/>
      <c r="I232" s="1"/>
    </row>
    <row r="233" spans="3:9">
      <c r="C233" s="1"/>
      <c r="I233" s="1"/>
    </row>
    <row r="234" spans="3:9">
      <c r="C234" s="1"/>
      <c r="I234" s="1"/>
    </row>
    <row r="235" spans="3:9">
      <c r="C235" s="1"/>
      <c r="I235" s="1"/>
    </row>
    <row r="236" spans="3:9">
      <c r="C236" s="1"/>
      <c r="I236" s="1"/>
    </row>
    <row r="237" spans="3:9">
      <c r="C237" s="1"/>
      <c r="I237" s="1"/>
    </row>
    <row r="238" spans="3:9">
      <c r="C238" s="1"/>
      <c r="I238" s="1"/>
    </row>
    <row r="239" spans="3:9">
      <c r="C239" s="1"/>
      <c r="I239" s="1"/>
    </row>
    <row r="240" spans="3:9">
      <c r="C240" s="1"/>
      <c r="I240" s="1"/>
    </row>
    <row r="241" spans="3:9">
      <c r="C241" s="1"/>
      <c r="I241" s="1"/>
    </row>
    <row r="242" spans="3:9">
      <c r="C242" s="1"/>
      <c r="I242" s="1"/>
    </row>
    <row r="243" spans="3:9">
      <c r="C243" s="1"/>
      <c r="I243" s="1"/>
    </row>
    <row r="244" spans="3:9">
      <c r="C244" s="1"/>
      <c r="I244" s="1"/>
    </row>
    <row r="245" spans="3:9">
      <c r="C245" s="1"/>
      <c r="I245" s="1"/>
    </row>
    <row r="246" spans="3:9">
      <c r="C246" s="1"/>
      <c r="I246" s="1"/>
    </row>
    <row r="247" spans="3:9">
      <c r="C247" s="1"/>
      <c r="I247" s="1"/>
    </row>
    <row r="248" spans="3:9">
      <c r="C248" s="1"/>
      <c r="I248" s="1"/>
    </row>
    <row r="249" spans="3:9">
      <c r="C249" s="1"/>
      <c r="I249" s="1"/>
    </row>
    <row r="250" spans="3:9">
      <c r="C250" s="1"/>
      <c r="I250" s="1"/>
    </row>
    <row r="251" spans="3:9">
      <c r="C251" s="1"/>
      <c r="I251" s="1"/>
    </row>
    <row r="252" spans="3:9">
      <c r="C252" s="1"/>
      <c r="I252" s="1"/>
    </row>
    <row r="253" spans="3:9">
      <c r="C253" s="1"/>
      <c r="I253" s="1"/>
    </row>
    <row r="254" spans="3:9">
      <c r="C254" s="1"/>
      <c r="I254" s="1"/>
    </row>
    <row r="255" spans="3:9">
      <c r="C255" s="1"/>
      <c r="I255" s="1"/>
    </row>
    <row r="256" spans="3:9">
      <c r="C256" s="1"/>
      <c r="I256" s="1"/>
    </row>
    <row r="257" spans="3:9">
      <c r="C257" s="1"/>
      <c r="I257" s="1"/>
    </row>
    <row r="258" spans="3:9">
      <c r="C258" s="1"/>
      <c r="I258" s="1"/>
    </row>
    <row r="259" spans="3:9">
      <c r="C259" s="1"/>
      <c r="I259" s="1"/>
    </row>
    <row r="260" spans="3:9">
      <c r="C260" s="1"/>
      <c r="I260" s="1"/>
    </row>
    <row r="261" spans="3:9">
      <c r="C261" s="1"/>
      <c r="I261" s="1"/>
    </row>
    <row r="262" spans="3:9">
      <c r="C262" s="1"/>
      <c r="I262" s="1"/>
    </row>
    <row r="263" spans="3:9">
      <c r="C263" s="1"/>
      <c r="I263" s="1"/>
    </row>
    <row r="264" spans="3:9">
      <c r="C264" s="1"/>
      <c r="I264" s="1"/>
    </row>
    <row r="265" spans="3:9">
      <c r="C265" s="1"/>
      <c r="I265" s="1"/>
    </row>
    <row r="266" spans="3:9">
      <c r="C266" s="1"/>
      <c r="I266" s="1"/>
    </row>
    <row r="267" spans="3:9">
      <c r="C267" s="1"/>
      <c r="I267" s="1"/>
    </row>
    <row r="268" spans="3:9">
      <c r="C268" s="1"/>
      <c r="I268" s="1"/>
    </row>
    <row r="269" spans="3:9">
      <c r="C269" s="1"/>
      <c r="I269" s="1"/>
    </row>
    <row r="270" spans="3:9">
      <c r="C270" s="1"/>
      <c r="I270" s="1"/>
    </row>
    <row r="271" spans="3:9">
      <c r="C271" s="1"/>
      <c r="I271" s="1"/>
    </row>
    <row r="272" spans="3:9">
      <c r="C272" s="1"/>
      <c r="I272" s="1"/>
    </row>
    <row r="273" spans="3:9">
      <c r="C273" s="1"/>
      <c r="I273" s="1"/>
    </row>
    <row r="274" spans="3:9">
      <c r="C274" s="1"/>
      <c r="I274" s="1"/>
    </row>
    <row r="275" spans="3:9">
      <c r="C275" s="1"/>
      <c r="I275" s="1"/>
    </row>
    <row r="276" spans="3:9">
      <c r="C276" s="1"/>
      <c r="I276" s="1"/>
    </row>
    <row r="277" spans="3:9">
      <c r="C277" s="1"/>
      <c r="I277" s="1"/>
    </row>
    <row r="278" spans="3:9">
      <c r="C278" s="1"/>
      <c r="I278" s="1"/>
    </row>
    <row r="279" spans="3:9">
      <c r="C279" s="1"/>
      <c r="I279" s="1"/>
    </row>
    <row r="280" spans="3:9">
      <c r="C280" s="1"/>
      <c r="I280" s="1"/>
    </row>
    <row r="281" spans="3:9">
      <c r="C281" s="1"/>
      <c r="I281" s="1"/>
    </row>
    <row r="282" spans="3:9">
      <c r="C282" s="1"/>
      <c r="I282" s="1"/>
    </row>
    <row r="283" spans="3:9">
      <c r="C283" s="1"/>
      <c r="I283" s="1"/>
    </row>
    <row r="284" spans="3:9">
      <c r="C284" s="1"/>
      <c r="I284" s="1"/>
    </row>
    <row r="285" spans="3:9">
      <c r="C285" s="1"/>
      <c r="I285" s="1"/>
    </row>
    <row r="286" spans="3:9">
      <c r="C286" s="1"/>
      <c r="I286" s="1"/>
    </row>
    <row r="287" spans="3:9">
      <c r="C287" s="1"/>
      <c r="I287" s="1"/>
    </row>
    <row r="288" spans="3:9">
      <c r="C288" s="1"/>
      <c r="I288" s="1"/>
    </row>
    <row r="289" spans="3:9">
      <c r="C289" s="1"/>
      <c r="I289" s="1"/>
    </row>
    <row r="290" spans="3:9">
      <c r="C290" s="1"/>
      <c r="I290" s="1"/>
    </row>
    <row r="291" spans="3:9">
      <c r="C291" s="1"/>
      <c r="I291" s="1"/>
    </row>
    <row r="292" spans="3:9">
      <c r="C292" s="1"/>
      <c r="I292" s="1"/>
    </row>
    <row r="293" spans="3:9">
      <c r="C293" s="1"/>
      <c r="I293" s="1"/>
    </row>
    <row r="294" spans="3:9">
      <c r="C294" s="1"/>
      <c r="I294" s="1"/>
    </row>
    <row r="295" spans="3:9">
      <c r="C295" s="1"/>
      <c r="I295" s="1"/>
    </row>
    <row r="296" spans="3:9">
      <c r="C296" s="1"/>
      <c r="I296" s="1"/>
    </row>
    <row r="297" spans="3:9">
      <c r="C297" s="1"/>
      <c r="I297" s="1"/>
    </row>
    <row r="298" spans="3:9">
      <c r="C298" s="1"/>
      <c r="I298" s="1"/>
    </row>
    <row r="299" spans="3:9">
      <c r="C299" s="1"/>
      <c r="I299" s="1"/>
    </row>
    <row r="300" spans="3:9">
      <c r="C300" s="1"/>
      <c r="I300" s="1"/>
    </row>
    <row r="301" spans="3:9">
      <c r="C301" s="1"/>
      <c r="I301" s="1"/>
    </row>
  </sheetData>
  <dataValidations count="3">
    <dataValidation type="list" allowBlank="1" showInputMessage="1" showErrorMessage="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75 D276 D277 D278 D279 D280 D281 D282 D283 D284 D285 D286 D287 D288 D289 D290 D291 D292 D293 D294 D295 D296 D297 D298 D299 D300 D301" xr:uid="{00000000-0002-0000-0100-000000000000}">
      <formula1>"اقتصادی,امنیتی,سیاسی,روانی بازار"</formula1>
    </dataValidation>
    <dataValidation type="list" allowBlank="1" showInputMessage="1" showErrorMessage="1" sqref="E2 F2 G2 E3 F3 G3 E4 F4 G4 E5 F5 G5 E6 F6 G6 E7 F7 G7 E8 F8 G8 E9 F9 G9 E10 F10 G10 E11 F11 G11 E12 F12 G12 E13 F13 G13 E14 F14 G14 E15 F15 G15 E16 F16 G16 E17 F17 G17 E18 F18 G18 E19 F19 G19 E20 F20 G20 E21 F21 G21 E22 F22 G22 E23 F23 G23 E24 F24 G24 E25 F25 G25 E26 F26 G26 E27 F27 G27 E28 F28 G28 E29 F29 G29 E30 F30 G30 E31 F31 G31 E32 F32 G32 E33 F33 G33 E34 F34 G34 E35 F35 G35 E36 F36 G36 E37 F37 G37 E38 F38 G38 E39 F39 G39 E40 F40 G40 E41 F41 G41 E42 F42 G42 E43 F43 G43 E44 F44 G44 E45 F45 G45 E46 F46 G46 E47 F47 G47 E48 F48 G48 E49 F49 G49 E50 F50 G50 E51 F51 G51 E52 F52 G52 E53 F53 G53 E54 F54 G54 E55 F55 G55 E56 F56 G56 E57 F57 G57 E58 F58 G58 E59 F59 G59 E60 F60 G60 E61 F61 G61 E62 F62 G62 E63 F63 G63 E64 F64 G64 E65 F65 G65 E66 F66 G66 E67 F67 G67 E68 F68 G68 E69 F69 G69 E70 F70 G70 E71 F71 G71 E72 F72 G72 E73 F73 G73 E74 F74 G74 E75 F75 G75 E76 F76 G76 E77 F77 G77 E78 F78 G78 E79 F79 G79 E80 F80 G80 E81 F81 G81 E82 F82 G82 E83 F83 G83 E84 F84 G84 E85 F85 G85 E86 F86 G86 E87 F87 G87 E88 F88 G88 E89 F89 G89 E90 F90 G90 E91 F91 G91 E92 F92 G92 E93 F93 G93 E94 F94 G94 E95 F95 G95 E96 F96 G96 E97 F97 G97 E98 F98 G98 E99 F99 G99 E100 F100 G100 E101 F101 G101 E102 F102 G102 E103 F103 G103 E104 F104 G104 E105 F105 G105 E106 F106 G106 E107 F107 G107 E108 F108 G108 E109 F109 G109 E110 F110 G110 E111 F111 G111 E112 F112 G112 E113 F113 G113 E114 F114 G114 E115 F115 G115 E116 F116 G116 E117 F117 G117 E118 F118 G118 E119 F119 G119 E120 F120 G120 E121 F121 G121 E122 F122 G122 E123 F123 G123 E124 F124 G124 E125 F125 G125 E126 F126 G126 E127 F127 G127 E128 F128 G128 E129 F129 G129 E130 F130 G130 E131 F131 G131 E132 F132 G132 E133 F133 G133 E134 F134 G134 E135 F135 G135 E136 F136 G136 E137 F137 G137 E138 F138 G138 E139 F139 G139 E140 F140 G140 E141 F141 G141 E142 F142 G142 E143 F143 G143 E144 F144 G144 E145 F145 G145 E146 F146 G146 E147 F147 G147 E148 F148 G148 E149 F149 G149 E150 F150 G150 E151 F151 G151 E152 F152 G152 E153 F153 G153 E154 F154 G154 E155 F155 G155 E156 F156 G156 E157 F157 G157 E158 F158 G158 E159 F159 G159 E160 F160 G160 E161 F161 G161 E162 F162 G162 E163 F163 G163 E164 F164 G164 E165 F165 G165 E166 F166 G166 E167 F167 G167 E168 F168 G168 E169 F169 G169 E170 F170 G170 E171 F171 G171 E172 F172 G172 E173 F173 G173 E174 F174 G174 E175 F175 G175 E176 F176 G176 E177 F177 G177 E178 F178 G178 E179 F179 G179 E180 F180 G180 E181 F181 G181 E182 F182 G182 E183 F183 G183 E184 F184 G184 E185 F185 G185 E186 F186 G186 E187 F187 G187 E188 F188 G188 E189 F189 G189 E190 F190 G190 E191 F191 G191 E192 F192 G192 E193 F193 G193 E194 F194 G194 E195 F195 G195 E196 F196 G196 E197 F197 G197 E198 F198 G198 E199 F199 G199 E200 F200 G200 E201 F201 G201 E202 F202 G202 E203 F203 G203 E204 F204 G204 E205 F205 G205 E206 F206 G206 E207 F207 G207 E208 F208 G208 E209 F209 G209 E210 F210 G210 E211 F211 G211 E212 F212 G212 E213 F213 G213 E214 F214 G214 E215 F215 G215 E216 F216 G216 E217 F217 G217 E218 F218 G218 E219 F219 G219 E220 F220 G220 E221 F221 G221 E222 F222 G222 E223 F223 G223 E224 F224 G224 E225 F225 G225 E226 F226 G226 E227 F227 G227 E228 F228 G228 E229 F229 G229 E230 F230 G230 E231 F231 G231 E232 F232 G232 E233 F233 G233 E234 F234 G234 E235 F235 G235 E236 F236 G236 E237 F237 G237 E238 F238 G238 E239 F239 G239 E240 F240 G240 E241 F241 G241 E242 F242 G242 E243 F243 G243 E244 F244 G244 E245 F245 G245 E246 F246 G246 E247 F247 G247 E248 F248 G248 E249 F249 G249 E250 F250 G250 E251 F251 G251 E252 F252 G252 E253 F253 G253 E254 F254 G254 E255 F255 G255 E256 F256 G256 E257 F257 G257 E258 F258 G258 E259 F259 G259 E260 F260 G260 E261 F261 G261 E262 F262 G262 E263 F263 G263 E264 F264 G264 E265 F265 G265 E266 F266 G266 E267 F267 G267 E268 F268 G268 E269 F269 G269 E270 F270 G270 E271 F271 G271 E272 F272 G272 E273 F273 G273 E274 F274 G274 E275 F275 G275 E276 F276 G276 E277 F277 G277 E278 F278 G278 E279 F279 G279 E280 F280 G280 E281 F281 G281 E282 F282 G282 E283 F283 G283 E284 F284 G284 E285 F285 G285 E286 F286 G286 E287 F287 G287 E288 F288 G288 E289 F289 G289 E290 F290 G290 E291 F291 G291 E292 F292 G292 E293 F293 G293 E294 F294 G294 E295 F295 G295 E296 F296 G296 E297 F297 G297 E298 F298 G298 E299 F299 G299 E300 F300 G300 E301 F301 G301" xr:uid="{00000000-0002-0000-0100-000001000000}">
      <formula1>"↑,↓,خنثی,نامطمئن"</formula1>
    </dataValidation>
    <dataValidation type="whole" allowBlank="1" showInputMessage="1" showErrorMessage="1"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xr:uid="{00000000-0002-0000-0100-000002000000}">
      <formula1>1</formula1>
      <formula2>5</formula2>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A0594-FD4F-4647-B8F8-E497F511F804}">
  <dimension ref="B1:D5"/>
  <sheetViews>
    <sheetView showGridLines="0" rightToLeft="1" zoomScale="150" zoomScaleNormal="150" workbookViewId="0">
      <selection activeCell="D5" sqref="B2:D5"/>
    </sheetView>
  </sheetViews>
  <sheetFormatPr baseColWidth="10" defaultColWidth="8.83203125" defaultRowHeight="15"/>
  <cols>
    <col min="1" max="1" width="0.6640625" customWidth="1"/>
    <col min="2" max="2" width="15.6640625" customWidth="1"/>
    <col min="3" max="3" width="59.33203125" customWidth="1"/>
    <col min="4" max="4" width="35.83203125" customWidth="1"/>
  </cols>
  <sheetData>
    <row r="1" spans="2:4" ht="3.5" customHeight="1"/>
    <row r="2" spans="2:4" ht="97" customHeight="1">
      <c r="B2" s="16" t="s">
        <v>11</v>
      </c>
      <c r="C2" s="16" t="s">
        <v>12</v>
      </c>
      <c r="D2" s="16" t="s">
        <v>9</v>
      </c>
    </row>
    <row r="3" spans="2:4" ht="97" customHeight="1">
      <c r="B3" s="73" t="s">
        <v>13</v>
      </c>
      <c r="C3" s="75" t="s">
        <v>84</v>
      </c>
      <c r="D3" s="75" t="s">
        <v>120</v>
      </c>
    </row>
    <row r="4" spans="2:4" ht="97" customHeight="1">
      <c r="B4" s="74"/>
      <c r="C4" s="76"/>
      <c r="D4" s="76"/>
    </row>
    <row r="5" spans="2:4" ht="97" customHeight="1">
      <c r="B5" s="19" t="s">
        <v>14</v>
      </c>
      <c r="C5" s="17" t="s">
        <v>15</v>
      </c>
      <c r="D5" s="18" t="s">
        <v>85</v>
      </c>
    </row>
  </sheetData>
  <mergeCells count="3">
    <mergeCell ref="B3:B4"/>
    <mergeCell ref="C3:C4"/>
    <mergeCell ref="D3:D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0361B-E9AE-49C8-895A-90F125545920}">
  <dimension ref="A1:O57"/>
  <sheetViews>
    <sheetView showGridLines="0" rightToLeft="1" zoomScale="120" zoomScaleNormal="120" workbookViewId="0">
      <pane xSplit="1" ySplit="1" topLeftCell="B2" activePane="bottomRight" state="frozen"/>
      <selection pane="topRight" activeCell="B1" sqref="B1"/>
      <selection pane="bottomLeft" activeCell="A2" sqref="A2"/>
      <selection pane="bottomRight" activeCell="E58" sqref="E58"/>
    </sheetView>
  </sheetViews>
  <sheetFormatPr baseColWidth="10" defaultColWidth="8.83203125" defaultRowHeight="15"/>
  <cols>
    <col min="1" max="1" width="14.5" style="14" bestFit="1" customWidth="1"/>
    <col min="2" max="2" width="37.5" style="14" bestFit="1" customWidth="1"/>
    <col min="3" max="3" width="30.6640625" style="14" bestFit="1" customWidth="1"/>
    <col min="4" max="4" width="8.5" style="14" bestFit="1" customWidth="1"/>
    <col min="5" max="5" width="7.33203125" style="14" bestFit="1" customWidth="1"/>
    <col min="6" max="6" width="5.6640625" style="14" bestFit="1" customWidth="1"/>
    <col min="7" max="7" width="7.1640625" style="14" bestFit="1" customWidth="1"/>
    <col min="8" max="8" width="10.83203125" style="14" bestFit="1" customWidth="1"/>
    <col min="9" max="9" width="5.6640625" style="14" bestFit="1" customWidth="1"/>
    <col min="10" max="10" width="3.83203125" style="14" bestFit="1" customWidth="1"/>
    <col min="11" max="11" width="7.1640625" style="14" bestFit="1" customWidth="1"/>
    <col min="12" max="12" width="4.1640625" style="14" bestFit="1" customWidth="1"/>
    <col min="13" max="13" width="7.1640625" style="14" bestFit="1" customWidth="1"/>
    <col min="14" max="14" width="6.33203125" style="14" bestFit="1" customWidth="1"/>
    <col min="15" max="15" width="17.1640625" style="14" bestFit="1" customWidth="1"/>
    <col min="16" max="16384" width="8.83203125" style="14"/>
  </cols>
  <sheetData>
    <row r="1" spans="1:15" ht="18">
      <c r="A1" s="16" t="s">
        <v>10</v>
      </c>
      <c r="B1" s="16" t="s">
        <v>17</v>
      </c>
      <c r="C1" s="16" t="s">
        <v>18</v>
      </c>
      <c r="D1" s="16" t="s">
        <v>19</v>
      </c>
      <c r="E1" s="16" t="s">
        <v>20</v>
      </c>
    </row>
    <row r="2" spans="1:15" ht="18">
      <c r="A2" s="15" t="s">
        <v>21</v>
      </c>
      <c r="B2" s="20" t="s">
        <v>22</v>
      </c>
      <c r="C2" s="15" t="s">
        <v>23</v>
      </c>
      <c r="D2" s="15" t="s">
        <v>24</v>
      </c>
      <c r="E2" s="15" t="s">
        <v>25</v>
      </c>
      <c r="M2" s="14" t="s">
        <v>100</v>
      </c>
      <c r="N2" s="14" t="s">
        <v>86</v>
      </c>
      <c r="O2" s="26" t="s">
        <v>116</v>
      </c>
    </row>
    <row r="3" spans="1:15" ht="18">
      <c r="A3" s="15" t="s">
        <v>26</v>
      </c>
      <c r="B3" s="20" t="s">
        <v>27</v>
      </c>
      <c r="C3" s="15" t="s">
        <v>28</v>
      </c>
      <c r="D3" s="15" t="s">
        <v>29</v>
      </c>
      <c r="E3" s="15" t="s">
        <v>25</v>
      </c>
      <c r="M3" s="14" t="s">
        <v>100</v>
      </c>
      <c r="N3" s="14" t="s">
        <v>101</v>
      </c>
      <c r="O3" s="26" t="s">
        <v>117</v>
      </c>
    </row>
    <row r="4" spans="1:15" ht="18">
      <c r="A4" s="15" t="s">
        <v>30</v>
      </c>
      <c r="B4" s="20" t="s">
        <v>31</v>
      </c>
      <c r="C4" s="15" t="s">
        <v>32</v>
      </c>
      <c r="D4" s="15" t="s">
        <v>33</v>
      </c>
      <c r="E4" s="15" t="s">
        <v>25</v>
      </c>
      <c r="M4" s="14" t="s">
        <v>100</v>
      </c>
      <c r="N4" s="14" t="s">
        <v>88</v>
      </c>
      <c r="O4" s="26" t="s">
        <v>102</v>
      </c>
    </row>
    <row r="5" spans="1:15" ht="18">
      <c r="A5" s="15" t="s">
        <v>34</v>
      </c>
      <c r="B5" s="20" t="s">
        <v>35</v>
      </c>
      <c r="C5" s="15" t="s">
        <v>32</v>
      </c>
      <c r="D5" s="15" t="s">
        <v>36</v>
      </c>
      <c r="E5" s="15" t="s">
        <v>25</v>
      </c>
      <c r="M5" s="14" t="s">
        <v>100</v>
      </c>
      <c r="N5" s="14" t="s">
        <v>87</v>
      </c>
      <c r="O5" s="26" t="s">
        <v>103</v>
      </c>
    </row>
    <row r="6" spans="1:15" ht="18">
      <c r="A6" s="15" t="s">
        <v>37</v>
      </c>
      <c r="B6" s="20" t="s">
        <v>38</v>
      </c>
      <c r="C6" s="15" t="s">
        <v>39</v>
      </c>
      <c r="D6" s="15"/>
      <c r="E6" s="15" t="s">
        <v>25</v>
      </c>
      <c r="H6" s="14" t="s">
        <v>89</v>
      </c>
      <c r="I6" s="14">
        <v>4</v>
      </c>
      <c r="K6" s="14" t="s">
        <v>93</v>
      </c>
      <c r="L6" s="14">
        <v>1</v>
      </c>
      <c r="M6" s="14" t="s">
        <v>94</v>
      </c>
      <c r="N6" s="14" t="s">
        <v>86</v>
      </c>
      <c r="O6" s="26" t="s">
        <v>104</v>
      </c>
    </row>
    <row r="7" spans="1:15" ht="18">
      <c r="A7" s="15" t="s">
        <v>40</v>
      </c>
      <c r="B7" s="20" t="s">
        <v>41</v>
      </c>
      <c r="C7" s="15" t="s">
        <v>39</v>
      </c>
      <c r="D7" s="15" t="s">
        <v>29</v>
      </c>
      <c r="E7" s="15" t="s">
        <v>25</v>
      </c>
      <c r="H7" s="14" t="s">
        <v>90</v>
      </c>
      <c r="I7" s="14">
        <v>2</v>
      </c>
      <c r="K7" s="14" t="s">
        <v>94</v>
      </c>
      <c r="L7" s="14">
        <v>1.1000000000000001</v>
      </c>
      <c r="M7" s="14" t="s">
        <v>94</v>
      </c>
      <c r="N7" s="14" t="s">
        <v>101</v>
      </c>
      <c r="O7" s="26" t="s">
        <v>105</v>
      </c>
    </row>
    <row r="8" spans="1:15" ht="18">
      <c r="A8" s="15" t="s">
        <v>42</v>
      </c>
      <c r="B8" s="20" t="s">
        <v>43</v>
      </c>
      <c r="C8" s="15" t="s">
        <v>44</v>
      </c>
      <c r="D8" s="15"/>
      <c r="E8" s="15" t="s">
        <v>45</v>
      </c>
      <c r="H8" s="14" t="s">
        <v>91</v>
      </c>
      <c r="I8" s="14">
        <v>3</v>
      </c>
      <c r="K8" s="14" t="s">
        <v>95</v>
      </c>
      <c r="L8" s="14">
        <v>9</v>
      </c>
      <c r="M8" s="14" t="s">
        <v>94</v>
      </c>
      <c r="N8" s="14" t="s">
        <v>88</v>
      </c>
      <c r="O8" s="26" t="s">
        <v>102</v>
      </c>
    </row>
    <row r="9" spans="1:15" ht="18">
      <c r="A9" s="15" t="s">
        <v>46</v>
      </c>
      <c r="B9" s="20" t="s">
        <v>47</v>
      </c>
      <c r="C9" s="15" t="s">
        <v>48</v>
      </c>
      <c r="D9" s="15"/>
      <c r="E9" s="15" t="s">
        <v>25</v>
      </c>
      <c r="H9" s="14" t="s">
        <v>92</v>
      </c>
      <c r="I9" s="14">
        <v>1</v>
      </c>
      <c r="K9" s="14" t="s">
        <v>96</v>
      </c>
      <c r="L9" s="14">
        <v>90</v>
      </c>
      <c r="M9" s="14" t="s">
        <v>94</v>
      </c>
      <c r="N9" s="14" t="s">
        <v>87</v>
      </c>
      <c r="O9" s="26" t="s">
        <v>106</v>
      </c>
    </row>
    <row r="10" spans="1:15" ht="18">
      <c r="A10" s="15" t="s">
        <v>49</v>
      </c>
      <c r="B10" s="20" t="s">
        <v>50</v>
      </c>
      <c r="C10" s="15" t="s">
        <v>48</v>
      </c>
      <c r="D10" s="15"/>
      <c r="E10" s="15" t="s">
        <v>25</v>
      </c>
      <c r="K10" s="14" t="s">
        <v>97</v>
      </c>
      <c r="L10" s="14">
        <v>100</v>
      </c>
      <c r="M10" s="14" t="s">
        <v>95</v>
      </c>
      <c r="N10" s="14" t="s">
        <v>86</v>
      </c>
      <c r="O10" s="26" t="s">
        <v>107</v>
      </c>
    </row>
    <row r="11" spans="1:15" ht="18">
      <c r="A11" s="21" t="s">
        <v>51</v>
      </c>
      <c r="B11" s="20" t="s">
        <v>52</v>
      </c>
      <c r="C11" s="15" t="s">
        <v>53</v>
      </c>
      <c r="D11" s="15" t="s">
        <v>54</v>
      </c>
      <c r="E11" s="15" t="s">
        <v>25</v>
      </c>
      <c r="H11" s="14" t="s">
        <v>93</v>
      </c>
      <c r="I11" s="14">
        <v>1</v>
      </c>
      <c r="M11" s="14" t="s">
        <v>95</v>
      </c>
      <c r="N11" s="14" t="s">
        <v>101</v>
      </c>
      <c r="O11" s="26" t="s">
        <v>108</v>
      </c>
    </row>
    <row r="12" spans="1:15" ht="18">
      <c r="A12" s="15" t="s">
        <v>55</v>
      </c>
      <c r="B12" s="20" t="s">
        <v>56</v>
      </c>
      <c r="C12" s="15" t="s">
        <v>57</v>
      </c>
      <c r="D12" s="15"/>
      <c r="E12" s="15" t="s">
        <v>58</v>
      </c>
      <c r="H12" s="14" t="s">
        <v>94</v>
      </c>
      <c r="I12" s="14">
        <v>2</v>
      </c>
      <c r="M12" s="14" t="s">
        <v>95</v>
      </c>
      <c r="N12" s="14" t="s">
        <v>88</v>
      </c>
      <c r="O12" s="26" t="s">
        <v>102</v>
      </c>
    </row>
    <row r="13" spans="1:15" ht="18">
      <c r="A13" s="15" t="s">
        <v>59</v>
      </c>
      <c r="B13" s="20" t="s">
        <v>60</v>
      </c>
      <c r="C13" s="15" t="s">
        <v>57</v>
      </c>
      <c r="D13" s="15"/>
      <c r="E13" s="15" t="s">
        <v>58</v>
      </c>
      <c r="H13" s="14" t="s">
        <v>95</v>
      </c>
      <c r="I13" s="14">
        <v>3</v>
      </c>
      <c r="M13" s="14" t="s">
        <v>95</v>
      </c>
      <c r="N13" s="14" t="s">
        <v>87</v>
      </c>
      <c r="O13" s="26" t="s">
        <v>109</v>
      </c>
    </row>
    <row r="14" spans="1:15" ht="19">
      <c r="A14" s="15" t="s">
        <v>61</v>
      </c>
      <c r="B14" s="22" t="s">
        <v>62</v>
      </c>
      <c r="C14" s="15" t="s">
        <v>63</v>
      </c>
      <c r="D14" s="15"/>
      <c r="E14" s="15" t="s">
        <v>45</v>
      </c>
      <c r="H14" s="14" t="s">
        <v>96</v>
      </c>
      <c r="I14" s="14">
        <v>4</v>
      </c>
      <c r="M14" s="14" t="s">
        <v>96</v>
      </c>
      <c r="N14" s="14" t="s">
        <v>86</v>
      </c>
      <c r="O14" s="26" t="s">
        <v>110</v>
      </c>
    </row>
    <row r="15" spans="1:15" ht="18">
      <c r="A15" s="23" t="s">
        <v>68</v>
      </c>
      <c r="B15" s="23" t="s">
        <v>67</v>
      </c>
      <c r="C15" s="15" t="s">
        <v>57</v>
      </c>
      <c r="D15" s="23"/>
      <c r="E15" s="15" t="s">
        <v>45</v>
      </c>
      <c r="H15" s="14" t="s">
        <v>97</v>
      </c>
      <c r="I15" s="14">
        <v>5</v>
      </c>
      <c r="M15" s="14" t="s">
        <v>96</v>
      </c>
      <c r="N15" s="14" t="s">
        <v>101</v>
      </c>
      <c r="O15" s="26" t="s">
        <v>111</v>
      </c>
    </row>
    <row r="16" spans="1:15" ht="18">
      <c r="A16" s="23" t="s">
        <v>69</v>
      </c>
      <c r="B16" s="23" t="s">
        <v>70</v>
      </c>
      <c r="C16" s="15" t="s">
        <v>57</v>
      </c>
      <c r="D16" s="23"/>
      <c r="E16" s="15" t="s">
        <v>83</v>
      </c>
      <c r="M16" s="14" t="s">
        <v>96</v>
      </c>
      <c r="N16" s="14" t="s">
        <v>88</v>
      </c>
      <c r="O16" s="26" t="s">
        <v>102</v>
      </c>
    </row>
    <row r="17" spans="1:15" ht="18">
      <c r="A17" s="23" t="s">
        <v>71</v>
      </c>
      <c r="B17" s="23" t="s">
        <v>72</v>
      </c>
      <c r="C17" s="15" t="s">
        <v>57</v>
      </c>
      <c r="D17" s="23"/>
      <c r="E17" s="15" t="s">
        <v>45</v>
      </c>
      <c r="G17" s="14" t="s">
        <v>93</v>
      </c>
      <c r="H17" s="14" t="s">
        <v>94</v>
      </c>
      <c r="I17" s="14" t="s">
        <v>95</v>
      </c>
      <c r="J17" s="14" t="s">
        <v>96</v>
      </c>
      <c r="K17" s="14" t="s">
        <v>97</v>
      </c>
      <c r="M17" s="14" t="s">
        <v>96</v>
      </c>
      <c r="N17" s="14" t="s">
        <v>87</v>
      </c>
      <c r="O17" s="26" t="s">
        <v>112</v>
      </c>
    </row>
    <row r="18" spans="1:15" ht="18">
      <c r="A18" s="23" t="s">
        <v>73</v>
      </c>
      <c r="B18" s="23" t="s">
        <v>74</v>
      </c>
      <c r="C18" s="15" t="s">
        <v>57</v>
      </c>
      <c r="D18" s="23"/>
      <c r="E18" s="15" t="s">
        <v>45</v>
      </c>
      <c r="G18" s="14">
        <v>1</v>
      </c>
      <c r="H18" s="14">
        <v>1.1000000000000001</v>
      </c>
      <c r="I18" s="14">
        <v>9</v>
      </c>
      <c r="J18" s="14">
        <v>90</v>
      </c>
      <c r="K18" s="14">
        <v>100</v>
      </c>
      <c r="M18" s="14" t="s">
        <v>97</v>
      </c>
      <c r="N18" s="14" t="s">
        <v>86</v>
      </c>
      <c r="O18" s="26" t="s">
        <v>113</v>
      </c>
    </row>
    <row r="19" spans="1:15" ht="18">
      <c r="A19" s="23" t="s">
        <v>76</v>
      </c>
      <c r="B19" s="23" t="s">
        <v>75</v>
      </c>
      <c r="C19" s="15" t="s">
        <v>63</v>
      </c>
      <c r="D19" s="23"/>
      <c r="E19" s="15" t="s">
        <v>45</v>
      </c>
      <c r="M19" s="14" t="s">
        <v>97</v>
      </c>
      <c r="N19" s="14" t="s">
        <v>101</v>
      </c>
      <c r="O19" s="26" t="s">
        <v>114</v>
      </c>
    </row>
    <row r="20" spans="1:15" ht="18">
      <c r="A20" s="23" t="s">
        <v>78</v>
      </c>
      <c r="B20" s="24" t="s">
        <v>77</v>
      </c>
      <c r="C20" s="15" t="s">
        <v>63</v>
      </c>
      <c r="D20" s="23"/>
      <c r="E20" s="15" t="s">
        <v>45</v>
      </c>
      <c r="M20" s="14" t="s">
        <v>97</v>
      </c>
      <c r="N20" s="14" t="s">
        <v>88</v>
      </c>
      <c r="O20" s="26" t="s">
        <v>102</v>
      </c>
    </row>
    <row r="21" spans="1:15" ht="18">
      <c r="A21" s="23" t="s">
        <v>80</v>
      </c>
      <c r="B21" s="23" t="s">
        <v>79</v>
      </c>
      <c r="C21" s="15" t="s">
        <v>63</v>
      </c>
      <c r="D21" s="23"/>
      <c r="E21" s="15" t="s">
        <v>25</v>
      </c>
      <c r="M21" s="14" t="s">
        <v>97</v>
      </c>
      <c r="N21" s="14" t="s">
        <v>87</v>
      </c>
      <c r="O21" s="26" t="s">
        <v>115</v>
      </c>
    </row>
    <row r="22" spans="1:15" ht="18">
      <c r="A22" s="23" t="s">
        <v>82</v>
      </c>
      <c r="B22" s="23" t="s">
        <v>81</v>
      </c>
      <c r="C22" s="15" t="s">
        <v>53</v>
      </c>
      <c r="D22" s="23"/>
      <c r="E22" s="15" t="s">
        <v>25</v>
      </c>
    </row>
    <row r="33" spans="2:8">
      <c r="D33" s="14" t="s">
        <v>93</v>
      </c>
      <c r="E33" s="14" t="s">
        <v>94</v>
      </c>
      <c r="F33" s="14" t="s">
        <v>95</v>
      </c>
      <c r="G33" s="14" t="s">
        <v>96</v>
      </c>
      <c r="H33" s="14" t="s">
        <v>97</v>
      </c>
    </row>
    <row r="34" spans="2:8">
      <c r="C34" s="14" t="s">
        <v>93</v>
      </c>
      <c r="H34" s="27"/>
    </row>
    <row r="35" spans="2:8">
      <c r="C35" s="14" t="s">
        <v>94</v>
      </c>
      <c r="H35" s="27"/>
    </row>
    <row r="36" spans="2:8">
      <c r="C36" s="14" t="s">
        <v>95</v>
      </c>
      <c r="G36" s="28"/>
      <c r="H36" s="27"/>
    </row>
    <row r="37" spans="2:8">
      <c r="C37" s="14" t="s">
        <v>96</v>
      </c>
      <c r="F37" s="28"/>
      <c r="G37" s="27"/>
      <c r="H37" s="27"/>
    </row>
    <row r="38" spans="2:8">
      <c r="C38" s="14" t="s">
        <v>97</v>
      </c>
      <c r="D38" s="27"/>
      <c r="E38" s="27"/>
      <c r="F38" s="27"/>
      <c r="G38" s="27"/>
      <c r="H38" s="27"/>
    </row>
    <row r="44" spans="2:8">
      <c r="D44" s="14">
        <v>1</v>
      </c>
      <c r="E44" s="14">
        <v>1.1000000000000001</v>
      </c>
      <c r="F44" s="14">
        <v>9</v>
      </c>
      <c r="G44" s="14">
        <v>90</v>
      </c>
      <c r="H44" s="14">
        <v>100</v>
      </c>
    </row>
    <row r="46" spans="2:8">
      <c r="B46" s="14">
        <v>1</v>
      </c>
      <c r="C46" s="14" t="s">
        <v>93</v>
      </c>
      <c r="D46" s="14">
        <f>D$44*B46</f>
        <v>1</v>
      </c>
      <c r="E46" s="14">
        <f>E$44*B46</f>
        <v>1.1000000000000001</v>
      </c>
      <c r="F46" s="14">
        <f>F$44*B46</f>
        <v>9</v>
      </c>
      <c r="G46" s="14">
        <f>G$44*B46</f>
        <v>90</v>
      </c>
      <c r="H46" s="28">
        <f>H$44*B46</f>
        <v>100</v>
      </c>
    </row>
    <row r="47" spans="2:8">
      <c r="B47" s="14">
        <v>1.1000000000000001</v>
      </c>
      <c r="C47" s="14" t="s">
        <v>94</v>
      </c>
      <c r="D47" s="14">
        <f t="shared" ref="D47:D50" si="0">D$44*B47</f>
        <v>1.1000000000000001</v>
      </c>
      <c r="E47" s="14">
        <f t="shared" ref="E47:E50" si="1">E$44*B47</f>
        <v>1.2100000000000002</v>
      </c>
      <c r="F47" s="14">
        <f t="shared" ref="F47:F50" si="2">F$44*B47</f>
        <v>9.9</v>
      </c>
      <c r="G47" s="14">
        <f t="shared" ref="G47:G50" si="3">G$44*B47</f>
        <v>99.000000000000014</v>
      </c>
      <c r="H47" s="28">
        <f t="shared" ref="H47:H50" si="4">H$44*B47</f>
        <v>110.00000000000001</v>
      </c>
    </row>
    <row r="48" spans="2:8">
      <c r="B48" s="14">
        <v>9</v>
      </c>
      <c r="C48" s="14" t="s">
        <v>95</v>
      </c>
      <c r="D48" s="14">
        <f t="shared" si="0"/>
        <v>9</v>
      </c>
      <c r="E48" s="14">
        <f t="shared" si="1"/>
        <v>9.9</v>
      </c>
      <c r="F48" s="14">
        <f t="shared" si="2"/>
        <v>81</v>
      </c>
      <c r="G48" s="28">
        <f t="shared" si="3"/>
        <v>810</v>
      </c>
      <c r="H48" s="28">
        <f t="shared" si="4"/>
        <v>900</v>
      </c>
    </row>
    <row r="49" spans="2:8">
      <c r="B49" s="14">
        <v>90</v>
      </c>
      <c r="C49" s="14" t="s">
        <v>96</v>
      </c>
      <c r="D49" s="14">
        <f t="shared" si="0"/>
        <v>90</v>
      </c>
      <c r="E49" s="14">
        <f>E$44*B49</f>
        <v>99.000000000000014</v>
      </c>
      <c r="F49" s="28">
        <f t="shared" si="2"/>
        <v>810</v>
      </c>
      <c r="G49" s="28">
        <f t="shared" si="3"/>
        <v>8100</v>
      </c>
      <c r="H49" s="28">
        <f t="shared" si="4"/>
        <v>9000</v>
      </c>
    </row>
    <row r="50" spans="2:8">
      <c r="B50" s="14">
        <v>100</v>
      </c>
      <c r="C50" s="14" t="s">
        <v>97</v>
      </c>
      <c r="D50" s="28">
        <f t="shared" si="0"/>
        <v>100</v>
      </c>
      <c r="E50" s="28">
        <f t="shared" si="1"/>
        <v>110.00000000000001</v>
      </c>
      <c r="F50" s="28">
        <f t="shared" si="2"/>
        <v>900</v>
      </c>
      <c r="G50" s="28">
        <f t="shared" si="3"/>
        <v>9000</v>
      </c>
      <c r="H50" s="28">
        <f t="shared" si="4"/>
        <v>10000</v>
      </c>
    </row>
    <row r="53" spans="2:8">
      <c r="C53" s="14" t="s">
        <v>93</v>
      </c>
      <c r="D53" s="14">
        <f>D46*D$44</f>
        <v>1</v>
      </c>
      <c r="E53" s="14">
        <f t="shared" ref="E53:H53" si="5">E46*E$44</f>
        <v>1.2100000000000002</v>
      </c>
      <c r="F53" s="14">
        <f t="shared" si="5"/>
        <v>81</v>
      </c>
      <c r="G53" s="14">
        <f t="shared" si="5"/>
        <v>8100</v>
      </c>
      <c r="H53" s="28">
        <f t="shared" si="5"/>
        <v>10000</v>
      </c>
    </row>
    <row r="54" spans="2:8">
      <c r="C54" s="14" t="s">
        <v>94</v>
      </c>
      <c r="D54" s="14">
        <f t="shared" ref="D54:H54" si="6">D47*D$44</f>
        <v>1.1000000000000001</v>
      </c>
      <c r="E54" s="14">
        <f t="shared" si="6"/>
        <v>1.3310000000000004</v>
      </c>
      <c r="F54" s="14">
        <f t="shared" si="6"/>
        <v>89.100000000000009</v>
      </c>
      <c r="G54" s="14">
        <f t="shared" si="6"/>
        <v>8910.0000000000018</v>
      </c>
      <c r="H54" s="14">
        <f t="shared" si="6"/>
        <v>11000.000000000002</v>
      </c>
    </row>
    <row r="55" spans="2:8">
      <c r="C55" s="14" t="s">
        <v>95</v>
      </c>
      <c r="D55" s="14">
        <f t="shared" ref="D55:E55" si="7">D48*D$44</f>
        <v>9</v>
      </c>
      <c r="E55" s="14">
        <f t="shared" si="7"/>
        <v>10.89</v>
      </c>
      <c r="F55" s="14">
        <f>F48*F$44</f>
        <v>729</v>
      </c>
      <c r="G55" s="14">
        <f>G48*G$44</f>
        <v>72900</v>
      </c>
      <c r="H55" s="14">
        <f>H48*H$44</f>
        <v>90000</v>
      </c>
    </row>
    <row r="56" spans="2:8">
      <c r="C56" s="14" t="s">
        <v>96</v>
      </c>
      <c r="D56" s="14">
        <f t="shared" ref="D56:H56" si="8">D49*D$44</f>
        <v>90</v>
      </c>
      <c r="E56" s="14">
        <f t="shared" si="8"/>
        <v>108.90000000000002</v>
      </c>
      <c r="F56" s="14">
        <f>F49*F$44</f>
        <v>7290</v>
      </c>
      <c r="G56" s="14">
        <f t="shared" si="8"/>
        <v>729000</v>
      </c>
      <c r="H56" s="14">
        <f t="shared" si="8"/>
        <v>900000</v>
      </c>
    </row>
    <row r="57" spans="2:8">
      <c r="C57" s="14" t="s">
        <v>97</v>
      </c>
      <c r="D57" s="14">
        <f t="shared" ref="D57:H57" si="9">D50*D$44</f>
        <v>100</v>
      </c>
      <c r="E57" s="14">
        <f t="shared" si="9"/>
        <v>121.00000000000003</v>
      </c>
      <c r="F57" s="14">
        <f t="shared" si="9"/>
        <v>8100</v>
      </c>
      <c r="G57" s="14">
        <f t="shared" si="9"/>
        <v>810000</v>
      </c>
      <c r="H57" s="14">
        <f t="shared" si="9"/>
        <v>1000000</v>
      </c>
    </row>
  </sheetData>
  <hyperlinks>
    <hyperlink ref="B2" r:id="rId1" xr:uid="{B3293F99-D490-4FD8-9A53-1972E880A214}"/>
    <hyperlink ref="B4" r:id="rId2" xr:uid="{0C6C2318-FD13-4C0F-929E-97CCC688ADCD}"/>
    <hyperlink ref="B6" r:id="rId3" xr:uid="{A71F3FFB-010E-4B6C-8FA8-EA43E42EBBBB}"/>
    <hyperlink ref="B5" r:id="rId4" xr:uid="{6E6B8083-EF9B-439A-B38A-62E3A3AE6E07}"/>
    <hyperlink ref="B11" r:id="rId5" xr:uid="{D94C3154-B4CB-489B-B87B-34CE338DDC79}"/>
    <hyperlink ref="B12" r:id="rId6" xr:uid="{BAF7D5A6-B288-4659-BCFC-C836073AD544}"/>
    <hyperlink ref="B13" r:id="rId7" xr:uid="{36A1C467-2B65-4015-9425-138564211290}"/>
    <hyperlink ref="B14" r:id="rId8" xr:uid="{FEB8F459-65E6-4062-94B2-517A0268F4FF}"/>
    <hyperlink ref="B20" r:id="rId9" xr:uid="{8B9C293F-CD41-40B1-9490-D88A6B6569BE}"/>
  </hyperlinks>
  <pageMargins left="0.7" right="0.7" top="0.75" bottom="0.75" header="0.3" footer="0.3"/>
  <drawing r:id="rId1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بررسی خبر</vt:lpstr>
      <vt:lpstr>تحلیل اثر</vt:lpstr>
      <vt:lpstr>کلید واژه ها</vt:lpstr>
      <vt:lpstr>منابع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Mcclure</cp:lastModifiedBy>
  <dcterms:created xsi:type="dcterms:W3CDTF">2025-10-19T15:28:07Z</dcterms:created>
  <dcterms:modified xsi:type="dcterms:W3CDTF">2026-03-17T21:12:27Z</dcterms:modified>
</cp:coreProperties>
</file>